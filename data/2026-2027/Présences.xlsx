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BDE30A4C-FCBB-C741-BEEA-E0C61D3C0F66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<sst xmlns="http://schemas.openxmlformats.org/spreadsheetml/2006/main" count="1383" uniqueCount="53">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</sst>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BE32"/>
  <sheetViews>
    <sheetView tabSelected="1" workbookViewId="0">
      <pane xSplit="1" topLeftCell="BD1" activePane="topRight" state="frozen"/>
      <selection pane="topRight" activeCell="BH21" sqref="BH21"/>
    </sheetView>
  </sheetViews>
  <sheetFormatPr baseColWidth="10" defaultRowHeight="16" x14ac:dyDescent="0.2"/>
  <cols>
    <col min="1" max="1" width="17.1640625" customWidth="1"/>
  </cols>
  <sheetData>
    <row r="1" spans="1:57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  <c r="AO1" s="6">
        <v>46262</v>
      </c>
      <c r="AP1" s="6">
        <v>46265</v>
      </c>
      <c r="AQ1" s="6">
        <v>46266</v>
      </c>
      <c r="AR1" s="6">
        <v>46267</v>
      </c>
      <c r="AS1" s="6">
        <v>46268</v>
      </c>
      <c r="AT1" s="6">
        <v>46269</v>
      </c>
      <c r="AU1" s="6">
        <v>46272</v>
      </c>
      <c r="AV1" s="6">
        <v>46273</v>
      </c>
      <c r="AW1" s="6">
        <v>46274</v>
      </c>
      <c r="AX1" s="6">
        <v>46275</v>
      </c>
      <c r="AY1" s="6">
        <v>46279</v>
      </c>
      <c r="AZ1" s="6">
        <v>46280</v>
      </c>
      <c r="BA1" s="6">
        <v>46281</v>
      </c>
      <c r="BB1" s="6">
        <v>46282</v>
      </c>
      <c r="BC1" s="6">
        <v>46283</v>
      </c>
      <c r="BD1" s="6">
        <v>46286</v>
      </c>
      <c r="BE1" s="6">
        <v>46287</v>
      </c>
    </row>
    <row r="2" spans="1:57" x14ac:dyDescent="0.2">
      <c r="A2" t="s">
        <v>9</v>
      </c>
      <c r="B2" s="3">
        <f>COUNTA(K2:VR2)</f>
        <v>47</v>
      </c>
      <c r="C2" s="3">
        <f>COUNTIF(K2:VR2,"P")</f>
        <v>23</v>
      </c>
      <c r="D2" s="5">
        <f>COUNTIF(K2:VR2,"REP")</f>
        <v>0</v>
      </c>
      <c r="E2" s="3">
        <f t="shared" ref="E2:E26" si="0">COUNTIF(K2:VS2,"A")</f>
        <v>11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  <c r="AO2" s="3" t="s">
        <v>18</v>
      </c>
      <c r="AP2" s="3" t="s">
        <v>7</v>
      </c>
      <c r="AQ2" s="3" t="s">
        <v>7</v>
      </c>
      <c r="AR2" s="3" t="s">
        <v>7</v>
      </c>
      <c r="AS2" s="3" t="s">
        <v>7</v>
      </c>
      <c r="AT2" s="3" t="s">
        <v>7</v>
      </c>
      <c r="AU2" s="3" t="s">
        <v>7</v>
      </c>
      <c r="AV2" s="3" t="s">
        <v>7</v>
      </c>
      <c r="AW2" s="3" t="s">
        <v>7</v>
      </c>
      <c r="AX2" s="3" t="s">
        <v>7</v>
      </c>
      <c r="AY2" s="3" t="s">
        <v>7</v>
      </c>
      <c r="AZ2" s="3" t="s">
        <v>7</v>
      </c>
      <c r="BA2" s="3" t="s">
        <v>7</v>
      </c>
      <c r="BB2" s="3" t="s">
        <v>7</v>
      </c>
      <c r="BC2" s="3" t="s">
        <v>7</v>
      </c>
      <c r="BD2" s="3" t="s">
        <v>7</v>
      </c>
      <c r="BE2" s="3" t="s">
        <v>7</v>
      </c>
    </row>
    <row r="3" spans="1:57" x14ac:dyDescent="0.2">
      <c r="A3" t="s">
        <v>10</v>
      </c>
      <c r="B3" s="3">
        <f t="shared" ref="B3:B21" si="2">COUNTA(K3:VR3)</f>
        <v>47</v>
      </c>
      <c r="C3" s="3">
        <f t="shared" ref="C3:C21" si="3">COUNTIF(K3:VR3,"P")</f>
        <v>32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3" t="s">
        <v>7</v>
      </c>
      <c r="AQ3" s="3" t="s">
        <v>7</v>
      </c>
      <c r="AR3" s="3" t="s">
        <v>7</v>
      </c>
      <c r="AS3" s="3" t="s">
        <v>7</v>
      </c>
      <c r="AT3" s="3" t="s">
        <v>7</v>
      </c>
      <c r="AU3" s="3" t="s">
        <v>7</v>
      </c>
      <c r="AV3" s="3" t="s">
        <v>7</v>
      </c>
      <c r="AW3" s="3" t="s">
        <v>7</v>
      </c>
      <c r="AX3" s="3" t="s">
        <v>7</v>
      </c>
      <c r="AY3" s="3" t="s">
        <v>7</v>
      </c>
      <c r="AZ3" s="3" t="s">
        <v>7</v>
      </c>
      <c r="BA3" s="3" t="s">
        <v>7</v>
      </c>
      <c r="BB3" s="3" t="s">
        <v>7</v>
      </c>
      <c r="BC3" s="3" t="s">
        <v>7</v>
      </c>
      <c r="BD3" s="3" t="s">
        <v>7</v>
      </c>
      <c r="BE3" s="3" t="s">
        <v>7</v>
      </c>
    </row>
    <row r="4" spans="1:57" x14ac:dyDescent="0.2">
      <c r="A4" t="s">
        <v>24</v>
      </c>
      <c r="B4" s="3">
        <f t="shared" si="2"/>
        <v>47</v>
      </c>
      <c r="C4" s="3">
        <f t="shared" si="3"/>
        <v>47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 t="s">
        <v>7</v>
      </c>
      <c r="AQ4" s="3" t="s">
        <v>7</v>
      </c>
      <c r="AR4" s="3" t="s">
        <v>7</v>
      </c>
      <c r="AS4" s="3" t="s">
        <v>7</v>
      </c>
      <c r="AT4" s="3" t="s">
        <v>7</v>
      </c>
      <c r="AU4" s="3" t="s">
        <v>7</v>
      </c>
      <c r="AV4" s="3" t="s">
        <v>7</v>
      </c>
      <c r="AW4" s="3" t="s">
        <v>7</v>
      </c>
      <c r="AX4" s="3" t="s">
        <v>7</v>
      </c>
      <c r="AY4" s="3" t="s">
        <v>7</v>
      </c>
      <c r="AZ4" s="3" t="s">
        <v>7</v>
      </c>
      <c r="BA4" s="3" t="s">
        <v>7</v>
      </c>
      <c r="BB4" s="3" t="s">
        <v>7</v>
      </c>
      <c r="BC4" s="3" t="s">
        <v>7</v>
      </c>
      <c r="BD4" s="3" t="s">
        <v>7</v>
      </c>
      <c r="BE4" s="3" t="s">
        <v>7</v>
      </c>
    </row>
    <row r="5" spans="1:57" x14ac:dyDescent="0.2">
      <c r="A5" t="s">
        <v>11</v>
      </c>
      <c r="B5" s="3">
        <f t="shared" si="2"/>
        <v>47</v>
      </c>
      <c r="C5" s="3">
        <f t="shared" si="3"/>
        <v>43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  <c r="AO5" s="3" t="s">
        <v>7</v>
      </c>
      <c r="AP5" s="3" t="s">
        <v>7</v>
      </c>
      <c r="AQ5" s="3" t="s">
        <v>7</v>
      </c>
      <c r="AR5" s="3" t="s">
        <v>7</v>
      </c>
      <c r="AS5" s="3" t="s">
        <v>7</v>
      </c>
      <c r="AT5" s="3" t="s">
        <v>7</v>
      </c>
      <c r="AU5" s="3" t="s">
        <v>7</v>
      </c>
      <c r="AV5" s="3" t="s">
        <v>7</v>
      </c>
      <c r="AW5" s="3" t="s">
        <v>7</v>
      </c>
      <c r="AX5" s="3" t="s">
        <v>7</v>
      </c>
      <c r="AY5" s="3" t="s">
        <v>7</v>
      </c>
      <c r="AZ5" s="3" t="s">
        <v>7</v>
      </c>
      <c r="BA5" s="3" t="s">
        <v>7</v>
      </c>
      <c r="BB5" s="3" t="s">
        <v>7</v>
      </c>
      <c r="BC5" s="3" t="s">
        <v>7</v>
      </c>
      <c r="BD5" s="3" t="s">
        <v>7</v>
      </c>
      <c r="BE5" s="3" t="s">
        <v>7</v>
      </c>
    </row>
    <row r="6" spans="1:57" x14ac:dyDescent="0.2">
      <c r="A6" t="s">
        <v>25</v>
      </c>
      <c r="B6" s="3">
        <f t="shared" si="2"/>
        <v>47</v>
      </c>
      <c r="C6" s="3">
        <f t="shared" si="3"/>
        <v>47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3" t="s">
        <v>7</v>
      </c>
      <c r="AQ6" s="3" t="s">
        <v>7</v>
      </c>
      <c r="AR6" s="3" t="s">
        <v>7</v>
      </c>
      <c r="AS6" s="3" t="s">
        <v>7</v>
      </c>
      <c r="AT6" s="3" t="s">
        <v>7</v>
      </c>
      <c r="AU6" s="3" t="s">
        <v>7</v>
      </c>
      <c r="AV6" s="3" t="s">
        <v>7</v>
      </c>
      <c r="AW6" s="3" t="s">
        <v>7</v>
      </c>
      <c r="AX6" s="3" t="s">
        <v>7</v>
      </c>
      <c r="AY6" s="3" t="s">
        <v>7</v>
      </c>
      <c r="AZ6" s="3" t="s">
        <v>7</v>
      </c>
      <c r="BA6" s="3" t="s">
        <v>7</v>
      </c>
      <c r="BB6" s="3" t="s">
        <v>7</v>
      </c>
      <c r="BC6" s="3" t="s">
        <v>7</v>
      </c>
      <c r="BD6" s="3" t="s">
        <v>7</v>
      </c>
      <c r="BE6" s="3" t="s">
        <v>7</v>
      </c>
    </row>
    <row r="7" spans="1:57" x14ac:dyDescent="0.2">
      <c r="A7" t="s">
        <v>26</v>
      </c>
      <c r="B7" s="3">
        <f t="shared" si="2"/>
        <v>47</v>
      </c>
      <c r="C7" s="3">
        <f t="shared" si="3"/>
        <v>33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6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51</v>
      </c>
      <c r="AS7" s="3" t="s">
        <v>51</v>
      </c>
      <c r="AT7" s="3" t="s">
        <v>51</v>
      </c>
      <c r="AU7" s="3" t="s">
        <v>7</v>
      </c>
      <c r="AV7" s="3" t="s">
        <v>7</v>
      </c>
      <c r="AW7" s="3" t="s">
        <v>51</v>
      </c>
      <c r="AX7" s="3" t="s">
        <v>51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  <c r="BD7" s="3" t="s">
        <v>7</v>
      </c>
      <c r="BE7" s="3" t="s">
        <v>7</v>
      </c>
    </row>
    <row r="8" spans="1:57" x14ac:dyDescent="0.2">
      <c r="A8" t="s">
        <v>27</v>
      </c>
      <c r="B8" s="3">
        <f t="shared" si="2"/>
        <v>47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24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  <c r="AO8" s="3" t="s">
        <v>44</v>
      </c>
      <c r="AP8" s="3" t="s">
        <v>44</v>
      </c>
      <c r="AQ8" s="3" t="s">
        <v>44</v>
      </c>
      <c r="AR8" s="3" t="s">
        <v>44</v>
      </c>
      <c r="AS8" s="3" t="s">
        <v>44</v>
      </c>
      <c r="AT8" s="3" t="s">
        <v>44</v>
      </c>
      <c r="AU8" s="3" t="s">
        <v>44</v>
      </c>
      <c r="AV8" s="3" t="s">
        <v>44</v>
      </c>
      <c r="AW8" s="3" t="s">
        <v>44</v>
      </c>
      <c r="AX8" s="3" t="s">
        <v>44</v>
      </c>
      <c r="AY8" s="3" t="s">
        <v>44</v>
      </c>
      <c r="AZ8" s="3" t="s">
        <v>44</v>
      </c>
      <c r="BA8" s="3" t="s">
        <v>44</v>
      </c>
      <c r="BB8" s="3" t="s">
        <v>44</v>
      </c>
      <c r="BC8" s="3" t="s">
        <v>44</v>
      </c>
      <c r="BD8" s="3" t="s">
        <v>44</v>
      </c>
      <c r="BE8" s="3" t="s">
        <v>44</v>
      </c>
    </row>
    <row r="9" spans="1:57" x14ac:dyDescent="0.2">
      <c r="A9" t="s">
        <v>17</v>
      </c>
      <c r="B9" s="3">
        <f t="shared" si="2"/>
        <v>47</v>
      </c>
      <c r="C9" s="3">
        <f t="shared" si="3"/>
        <v>43</v>
      </c>
      <c r="D9" s="5">
        <f t="shared" si="4"/>
        <v>1</v>
      </c>
      <c r="E9" s="3">
        <f t="shared" si="0"/>
        <v>0</v>
      </c>
      <c r="F9" s="3">
        <f t="shared" si="1"/>
        <v>2</v>
      </c>
      <c r="G9" s="3">
        <f t="shared" si="5"/>
        <v>0</v>
      </c>
      <c r="H9" s="3">
        <f t="shared" si="6"/>
        <v>0</v>
      </c>
      <c r="I9" s="3">
        <f t="shared" si="7"/>
        <v>1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3" t="s">
        <v>7</v>
      </c>
      <c r="AQ9" s="3" t="s">
        <v>7</v>
      </c>
      <c r="AR9" s="3" t="s">
        <v>7</v>
      </c>
      <c r="AS9" s="3" t="s">
        <v>47</v>
      </c>
      <c r="AT9" s="3" t="s">
        <v>7</v>
      </c>
      <c r="AU9" s="3" t="s">
        <v>7</v>
      </c>
      <c r="AV9" s="3" t="s">
        <v>7</v>
      </c>
      <c r="AW9" s="3" t="s">
        <v>7</v>
      </c>
      <c r="AX9" s="3" t="s">
        <v>7</v>
      </c>
      <c r="AY9" s="3" t="s">
        <v>7</v>
      </c>
      <c r="AZ9" s="3" t="s">
        <v>7</v>
      </c>
      <c r="BA9" s="3" t="s">
        <v>7</v>
      </c>
      <c r="BB9" s="3" t="s">
        <v>7</v>
      </c>
      <c r="BC9" s="3" t="s">
        <v>7</v>
      </c>
      <c r="BD9" s="3" t="s">
        <v>7</v>
      </c>
      <c r="BE9" s="3" t="s">
        <v>7</v>
      </c>
    </row>
    <row r="10" spans="1:57" x14ac:dyDescent="0.2">
      <c r="A10" t="s">
        <v>28</v>
      </c>
      <c r="B10" s="3">
        <f t="shared" si="2"/>
        <v>47</v>
      </c>
      <c r="C10" s="3">
        <f t="shared" si="3"/>
        <v>42</v>
      </c>
      <c r="D10" s="5">
        <f t="shared" si="4"/>
        <v>0</v>
      </c>
      <c r="E10" s="3">
        <f t="shared" si="0"/>
        <v>1</v>
      </c>
      <c r="F10" s="3">
        <f t="shared" si="1"/>
        <v>4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  <c r="AO10" s="3" t="s">
        <v>7</v>
      </c>
      <c r="AP10" s="3" t="s">
        <v>7</v>
      </c>
      <c r="AQ10" s="3" t="s">
        <v>7</v>
      </c>
      <c r="AR10" s="3" t="s">
        <v>44</v>
      </c>
      <c r="AS10" s="3" t="s">
        <v>44</v>
      </c>
      <c r="AT10" s="3" t="s">
        <v>7</v>
      </c>
      <c r="AU10" s="3" t="s">
        <v>7</v>
      </c>
      <c r="AV10" s="3" t="s">
        <v>7</v>
      </c>
      <c r="AW10" s="3" t="s">
        <v>7</v>
      </c>
      <c r="AX10" s="3" t="s">
        <v>7</v>
      </c>
      <c r="AY10" s="3" t="s">
        <v>7</v>
      </c>
      <c r="AZ10" s="3" t="s">
        <v>7</v>
      </c>
      <c r="BA10" s="3" t="s">
        <v>7</v>
      </c>
      <c r="BB10" s="3" t="s">
        <v>7</v>
      </c>
      <c r="BC10" s="3" t="s">
        <v>7</v>
      </c>
      <c r="BD10" s="3" t="s">
        <v>7</v>
      </c>
      <c r="BE10" s="3" t="s">
        <v>7</v>
      </c>
    </row>
    <row r="11" spans="1:57" x14ac:dyDescent="0.2">
      <c r="A11" t="s">
        <v>12</v>
      </c>
      <c r="B11" s="3">
        <f t="shared" si="2"/>
        <v>47</v>
      </c>
      <c r="C11" s="3">
        <f t="shared" si="3"/>
        <v>47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3" t="s">
        <v>7</v>
      </c>
      <c r="AQ11" s="3" t="s">
        <v>7</v>
      </c>
      <c r="AR11" s="3" t="s">
        <v>7</v>
      </c>
      <c r="AS11" s="3" t="s">
        <v>7</v>
      </c>
      <c r="AT11" s="3" t="s">
        <v>7</v>
      </c>
      <c r="AU11" s="3" t="s">
        <v>7</v>
      </c>
      <c r="AV11" s="3" t="s">
        <v>7</v>
      </c>
      <c r="AW11" s="3" t="s">
        <v>7</v>
      </c>
      <c r="AX11" s="3" t="s">
        <v>7</v>
      </c>
      <c r="AY11" s="3" t="s">
        <v>7</v>
      </c>
      <c r="AZ11" s="3" t="s">
        <v>7</v>
      </c>
      <c r="BA11" s="3" t="s">
        <v>7</v>
      </c>
      <c r="BB11" s="3" t="s">
        <v>7</v>
      </c>
      <c r="BC11" s="3" t="s">
        <v>7</v>
      </c>
      <c r="BD11" s="3" t="s">
        <v>7</v>
      </c>
      <c r="BE11" s="3" t="s">
        <v>7</v>
      </c>
    </row>
    <row r="12" spans="1:57" x14ac:dyDescent="0.2">
      <c r="A12" t="s">
        <v>13</v>
      </c>
      <c r="B12" s="3">
        <f t="shared" si="2"/>
        <v>47</v>
      </c>
      <c r="C12" s="3">
        <f t="shared" si="3"/>
        <v>42</v>
      </c>
      <c r="D12" s="5">
        <f t="shared" si="4"/>
        <v>0</v>
      </c>
      <c r="E12" s="3">
        <f t="shared" si="0"/>
        <v>0</v>
      </c>
      <c r="F12" s="3">
        <f t="shared" si="1"/>
        <v>3</v>
      </c>
      <c r="G12" s="3">
        <f t="shared" si="5"/>
        <v>0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3" t="s">
        <v>7</v>
      </c>
      <c r="AQ12" s="3" t="s">
        <v>7</v>
      </c>
      <c r="AR12" s="3" t="s">
        <v>7</v>
      </c>
      <c r="AS12" s="3" t="s">
        <v>7</v>
      </c>
      <c r="AT12" s="3" t="s">
        <v>7</v>
      </c>
      <c r="AU12" s="3" t="s">
        <v>7</v>
      </c>
      <c r="AV12" s="3" t="s">
        <v>7</v>
      </c>
      <c r="AW12" s="3" t="s">
        <v>7</v>
      </c>
      <c r="AX12" s="3" t="s">
        <v>7</v>
      </c>
      <c r="AY12" s="3" t="s">
        <v>7</v>
      </c>
      <c r="AZ12" s="3" t="s">
        <v>7</v>
      </c>
      <c r="BA12" s="3" t="s">
        <v>7</v>
      </c>
      <c r="BB12" s="3" t="s">
        <v>7</v>
      </c>
      <c r="BC12" s="3" t="s">
        <v>7</v>
      </c>
      <c r="BD12" s="3" t="s">
        <v>7</v>
      </c>
      <c r="BE12" s="3" t="s">
        <v>7</v>
      </c>
    </row>
    <row r="13" spans="1:57" x14ac:dyDescent="0.2">
      <c r="A13" t="s">
        <v>23</v>
      </c>
      <c r="B13" s="3">
        <f t="shared" si="2"/>
        <v>47</v>
      </c>
      <c r="C13" s="3">
        <f t="shared" si="3"/>
        <v>46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1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 t="s">
        <v>7</v>
      </c>
      <c r="AQ13" s="3" t="s">
        <v>7</v>
      </c>
      <c r="AR13" s="3" t="s">
        <v>7</v>
      </c>
      <c r="AS13" s="3" t="s">
        <v>7</v>
      </c>
      <c r="AT13" s="3" t="s">
        <v>7</v>
      </c>
      <c r="AU13" s="3" t="s">
        <v>7</v>
      </c>
      <c r="AV13" s="3" t="s">
        <v>7</v>
      </c>
      <c r="AW13" s="3" t="s">
        <v>7</v>
      </c>
      <c r="AX13" s="3" t="s">
        <v>7</v>
      </c>
      <c r="AY13" s="3" t="s">
        <v>7</v>
      </c>
      <c r="AZ13" s="3" t="s">
        <v>7</v>
      </c>
      <c r="BA13" s="3" t="s">
        <v>7</v>
      </c>
      <c r="BB13" s="3" t="s">
        <v>7</v>
      </c>
      <c r="BC13" s="3" t="s">
        <v>7</v>
      </c>
      <c r="BD13" s="3" t="s">
        <v>7</v>
      </c>
      <c r="BE13" s="3" t="s">
        <v>50</v>
      </c>
    </row>
    <row r="14" spans="1:57" x14ac:dyDescent="0.2">
      <c r="A14" t="s">
        <v>14</v>
      </c>
      <c r="B14" s="3">
        <f t="shared" si="2"/>
        <v>47</v>
      </c>
      <c r="C14" s="3">
        <f t="shared" si="3"/>
        <v>44</v>
      </c>
      <c r="D14" s="5">
        <f t="shared" si="4"/>
        <v>0</v>
      </c>
      <c r="E14" s="3">
        <f t="shared" si="0"/>
        <v>0</v>
      </c>
      <c r="F14" s="3">
        <f t="shared" si="1"/>
        <v>3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 t="s">
        <v>7</v>
      </c>
      <c r="AQ14" s="3" t="s">
        <v>7</v>
      </c>
      <c r="AR14" s="3" t="s">
        <v>7</v>
      </c>
      <c r="AS14" s="3" t="s">
        <v>7</v>
      </c>
      <c r="AT14" s="3" t="s">
        <v>7</v>
      </c>
      <c r="AU14" s="3" t="s">
        <v>7</v>
      </c>
      <c r="AV14" s="3" t="s">
        <v>7</v>
      </c>
      <c r="AW14" s="3" t="s">
        <v>7</v>
      </c>
      <c r="AX14" s="3" t="s">
        <v>7</v>
      </c>
      <c r="AY14" s="3" t="s">
        <v>7</v>
      </c>
      <c r="AZ14" s="3" t="s">
        <v>7</v>
      </c>
      <c r="BA14" s="3" t="s">
        <v>7</v>
      </c>
      <c r="BB14" s="3" t="s">
        <v>7</v>
      </c>
      <c r="BC14" s="3" t="s">
        <v>7</v>
      </c>
      <c r="BD14" s="3" t="s">
        <v>7</v>
      </c>
      <c r="BE14" s="3" t="s">
        <v>7</v>
      </c>
    </row>
    <row r="15" spans="1:57" x14ac:dyDescent="0.2">
      <c r="A15" t="s">
        <v>29</v>
      </c>
      <c r="B15" s="3">
        <f t="shared" si="2"/>
        <v>47</v>
      </c>
      <c r="C15" s="3">
        <f t="shared" si="3"/>
        <v>37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10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51</v>
      </c>
      <c r="AP15" s="3" t="s">
        <v>7</v>
      </c>
      <c r="AQ15" s="3" t="s">
        <v>7</v>
      </c>
      <c r="AR15" s="3" t="s">
        <v>51</v>
      </c>
      <c r="AS15" s="3" t="s">
        <v>51</v>
      </c>
      <c r="AT15" s="3" t="s">
        <v>51</v>
      </c>
      <c r="AU15" s="3" t="s">
        <v>7</v>
      </c>
      <c r="AV15" s="3" t="s">
        <v>7</v>
      </c>
      <c r="AW15" s="3" t="s">
        <v>51</v>
      </c>
      <c r="AX15" s="3" t="s">
        <v>51</v>
      </c>
      <c r="AY15" s="3" t="s">
        <v>7</v>
      </c>
      <c r="AZ15" s="3" t="s">
        <v>7</v>
      </c>
      <c r="BA15" s="3" t="s">
        <v>51</v>
      </c>
      <c r="BB15" s="3" t="s">
        <v>51</v>
      </c>
      <c r="BC15" s="3" t="s">
        <v>51</v>
      </c>
      <c r="BD15" s="3" t="s">
        <v>7</v>
      </c>
      <c r="BE15" s="3" t="s">
        <v>7</v>
      </c>
    </row>
    <row r="16" spans="1:57" x14ac:dyDescent="0.2">
      <c r="A16" t="s">
        <v>30</v>
      </c>
      <c r="B16" s="3">
        <f t="shared" si="2"/>
        <v>47</v>
      </c>
      <c r="C16" s="3">
        <f t="shared" si="3"/>
        <v>32</v>
      </c>
      <c r="D16" s="5">
        <f t="shared" si="4"/>
        <v>0</v>
      </c>
      <c r="E16" s="3">
        <f t="shared" si="0"/>
        <v>5</v>
      </c>
      <c r="F16" s="3">
        <f t="shared" si="1"/>
        <v>0</v>
      </c>
      <c r="G16" s="3">
        <f t="shared" si="5"/>
        <v>0</v>
      </c>
      <c r="H16" s="3">
        <f t="shared" si="6"/>
        <v>10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51</v>
      </c>
      <c r="AP16" s="3" t="s">
        <v>7</v>
      </c>
      <c r="AQ16" s="3" t="s">
        <v>7</v>
      </c>
      <c r="AR16" s="3" t="s">
        <v>51</v>
      </c>
      <c r="AS16" s="3" t="s">
        <v>51</v>
      </c>
      <c r="AT16" s="3" t="s">
        <v>51</v>
      </c>
      <c r="AU16" s="3" t="s">
        <v>7</v>
      </c>
      <c r="AV16" s="3" t="s">
        <v>7</v>
      </c>
      <c r="AW16" s="3" t="s">
        <v>51</v>
      </c>
      <c r="AX16" s="3" t="s">
        <v>51</v>
      </c>
      <c r="AY16" s="3" t="s">
        <v>7</v>
      </c>
      <c r="AZ16" s="3" t="s">
        <v>7</v>
      </c>
      <c r="BA16" s="3" t="s">
        <v>51</v>
      </c>
      <c r="BB16" s="3" t="s">
        <v>51</v>
      </c>
      <c r="BC16" s="3" t="s">
        <v>51</v>
      </c>
      <c r="BD16" s="3" t="s">
        <v>7</v>
      </c>
      <c r="BE16" s="3" t="s">
        <v>7</v>
      </c>
    </row>
    <row r="17" spans="1:57" x14ac:dyDescent="0.2">
      <c r="A17" t="s">
        <v>31</v>
      </c>
      <c r="B17" s="3">
        <f t="shared" si="2"/>
        <v>47</v>
      </c>
      <c r="C17" s="3">
        <f t="shared" si="3"/>
        <v>44</v>
      </c>
      <c r="D17" s="5">
        <f t="shared" si="4"/>
        <v>0</v>
      </c>
      <c r="E17" s="3">
        <f t="shared" si="0"/>
        <v>0</v>
      </c>
      <c r="F17" s="3">
        <f t="shared" si="1"/>
        <v>3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 t="s">
        <v>7</v>
      </c>
      <c r="AQ17" s="3" t="s">
        <v>7</v>
      </c>
      <c r="AR17" s="3" t="s">
        <v>7</v>
      </c>
      <c r="AS17" s="3" t="s">
        <v>7</v>
      </c>
      <c r="AT17" s="3" t="s">
        <v>7</v>
      </c>
      <c r="AU17" s="3" t="s">
        <v>7</v>
      </c>
      <c r="AV17" s="3" t="s">
        <v>7</v>
      </c>
      <c r="AW17" s="3" t="s">
        <v>7</v>
      </c>
      <c r="AX17" s="3" t="s">
        <v>7</v>
      </c>
      <c r="AY17" s="3" t="s">
        <v>7</v>
      </c>
      <c r="AZ17" s="3" t="s">
        <v>7</v>
      </c>
      <c r="BA17" s="3" t="s">
        <v>7</v>
      </c>
      <c r="BB17" s="3" t="s">
        <v>7</v>
      </c>
      <c r="BC17" s="3" t="s">
        <v>44</v>
      </c>
      <c r="BD17" s="3" t="s">
        <v>44</v>
      </c>
      <c r="BE17" s="3" t="s">
        <v>44</v>
      </c>
    </row>
    <row r="18" spans="1:57" x14ac:dyDescent="0.2">
      <c r="A18" t="s">
        <v>21</v>
      </c>
      <c r="B18" s="3">
        <f t="shared" si="2"/>
        <v>47</v>
      </c>
      <c r="C18" s="3">
        <f t="shared" si="3"/>
        <v>44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 t="s">
        <v>7</v>
      </c>
      <c r="AQ18" s="3" t="s">
        <v>7</v>
      </c>
      <c r="AR18" s="3" t="s">
        <v>7</v>
      </c>
      <c r="AS18" s="3" t="s">
        <v>7</v>
      </c>
      <c r="AT18" s="3" t="s">
        <v>7</v>
      </c>
      <c r="AU18" s="3" t="s">
        <v>7</v>
      </c>
      <c r="AV18" s="3" t="s">
        <v>7</v>
      </c>
      <c r="AW18" s="3" t="s">
        <v>7</v>
      </c>
      <c r="AX18" s="3" t="s">
        <v>7</v>
      </c>
      <c r="AY18" s="3" t="s">
        <v>7</v>
      </c>
      <c r="AZ18" s="3" t="s">
        <v>7</v>
      </c>
      <c r="BA18" s="3" t="s">
        <v>7</v>
      </c>
      <c r="BB18" s="3" t="s">
        <v>7</v>
      </c>
      <c r="BC18" s="3" t="s">
        <v>7</v>
      </c>
      <c r="BD18" s="3" t="s">
        <v>7</v>
      </c>
      <c r="BE18" s="3" t="s">
        <v>7</v>
      </c>
    </row>
    <row r="19" spans="1:57" x14ac:dyDescent="0.2">
      <c r="A19" t="s">
        <v>16</v>
      </c>
      <c r="B19" s="3">
        <f t="shared" si="2"/>
        <v>47</v>
      </c>
      <c r="C19" s="3">
        <f t="shared" si="3"/>
        <v>46</v>
      </c>
      <c r="D19" s="5">
        <f t="shared" si="4"/>
        <v>0</v>
      </c>
      <c r="E19" s="3">
        <f t="shared" si="0"/>
        <v>0</v>
      </c>
      <c r="F19" s="3">
        <f t="shared" si="1"/>
        <v>1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 t="s">
        <v>7</v>
      </c>
      <c r="AQ19" s="3" t="s">
        <v>7</v>
      </c>
      <c r="AR19" s="3" t="s">
        <v>7</v>
      </c>
      <c r="AS19" s="3" t="s">
        <v>44</v>
      </c>
      <c r="AT19" s="3" t="s">
        <v>7</v>
      </c>
      <c r="AU19" s="3" t="s">
        <v>7</v>
      </c>
      <c r="AV19" s="3" t="s">
        <v>7</v>
      </c>
      <c r="AW19" s="3" t="s">
        <v>7</v>
      </c>
      <c r="AX19" s="3" t="s">
        <v>7</v>
      </c>
      <c r="AY19" s="3" t="s">
        <v>7</v>
      </c>
      <c r="AZ19" s="3" t="s">
        <v>7</v>
      </c>
      <c r="BA19" s="3" t="s">
        <v>7</v>
      </c>
      <c r="BB19" s="3" t="s">
        <v>7</v>
      </c>
      <c r="BC19" s="3" t="s">
        <v>7</v>
      </c>
      <c r="BD19" s="3" t="s">
        <v>7</v>
      </c>
      <c r="BE19" s="3" t="s">
        <v>7</v>
      </c>
    </row>
    <row r="20" spans="1:57" x14ac:dyDescent="0.2">
      <c r="A20" t="s">
        <v>37</v>
      </c>
      <c r="B20" s="3">
        <f t="shared" si="2"/>
        <v>47</v>
      </c>
      <c r="C20" s="3">
        <f t="shared" si="3"/>
        <v>33</v>
      </c>
      <c r="D20" s="5">
        <f t="shared" si="4"/>
        <v>0</v>
      </c>
      <c r="E20" s="3">
        <f t="shared" si="0"/>
        <v>5</v>
      </c>
      <c r="F20" s="3">
        <f t="shared" si="1"/>
        <v>1</v>
      </c>
      <c r="G20" s="3">
        <f t="shared" si="5"/>
        <v>3</v>
      </c>
      <c r="H20" s="3">
        <f t="shared" si="6"/>
        <v>5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51</v>
      </c>
      <c r="AP20" s="3" t="s">
        <v>7</v>
      </c>
      <c r="AQ20" s="3" t="s">
        <v>7</v>
      </c>
      <c r="AR20" s="3" t="s">
        <v>7</v>
      </c>
      <c r="AS20" s="3" t="s">
        <v>7</v>
      </c>
      <c r="AT20" s="3" t="s">
        <v>7</v>
      </c>
      <c r="AU20" s="3" t="s">
        <v>50</v>
      </c>
      <c r="AV20" s="3" t="s">
        <v>7</v>
      </c>
      <c r="AW20" s="3" t="s">
        <v>7</v>
      </c>
      <c r="AX20" s="3" t="s">
        <v>7</v>
      </c>
      <c r="AY20" s="3" t="s">
        <v>7</v>
      </c>
      <c r="AZ20" s="3" t="s">
        <v>7</v>
      </c>
      <c r="BA20" s="3" t="s">
        <v>51</v>
      </c>
      <c r="BB20" s="3" t="s">
        <v>51</v>
      </c>
      <c r="BC20" s="3" t="s">
        <v>51</v>
      </c>
      <c r="BD20" s="3" t="s">
        <v>18</v>
      </c>
      <c r="BE20" s="3" t="s">
        <v>18</v>
      </c>
    </row>
    <row r="21" spans="1:57" x14ac:dyDescent="0.2">
      <c r="A21" t="s">
        <v>32</v>
      </c>
      <c r="B21" s="3">
        <f t="shared" si="2"/>
        <v>47</v>
      </c>
      <c r="C21" s="3">
        <f t="shared" si="3"/>
        <v>37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10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51</v>
      </c>
      <c r="AP21" s="3" t="s">
        <v>7</v>
      </c>
      <c r="AQ21" s="3" t="s">
        <v>7</v>
      </c>
      <c r="AR21" s="3" t="s">
        <v>51</v>
      </c>
      <c r="AS21" s="3" t="s">
        <v>51</v>
      </c>
      <c r="AT21" s="3" t="s">
        <v>51</v>
      </c>
      <c r="AU21" s="3" t="s">
        <v>7</v>
      </c>
      <c r="AV21" s="3" t="s">
        <v>7</v>
      </c>
      <c r="AW21" s="3" t="s">
        <v>51</v>
      </c>
      <c r="AX21" s="3" t="s">
        <v>51</v>
      </c>
      <c r="AY21" s="3" t="s">
        <v>7</v>
      </c>
      <c r="AZ21" s="3" t="s">
        <v>7</v>
      </c>
      <c r="BA21" s="3" t="s">
        <v>51</v>
      </c>
      <c r="BB21" s="3" t="s">
        <v>51</v>
      </c>
      <c r="BC21" s="3" t="s">
        <v>51</v>
      </c>
      <c r="BD21" s="3" t="s">
        <v>7</v>
      </c>
      <c r="BE21" s="3" t="s">
        <v>7</v>
      </c>
    </row>
    <row r="22" spans="1:57" x14ac:dyDescent="0.2">
      <c r="A22" t="s">
        <v>33</v>
      </c>
      <c r="B22" s="3">
        <f t="shared" ref="B22:B26" si="9">COUNTA(K22:VR22)</f>
        <v>47</v>
      </c>
      <c r="C22" s="3">
        <f t="shared" ref="C22:C26" si="10">COUNTIF(K22:VR22,"P")</f>
        <v>39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8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51</v>
      </c>
      <c r="AP22" s="3" t="s">
        <v>7</v>
      </c>
      <c r="AQ22" s="3" t="s">
        <v>7</v>
      </c>
      <c r="AR22" s="3" t="s">
        <v>51</v>
      </c>
      <c r="AS22" s="3" t="s">
        <v>51</v>
      </c>
      <c r="AT22" s="3" t="s">
        <v>51</v>
      </c>
      <c r="AU22" s="3" t="s">
        <v>7</v>
      </c>
      <c r="AV22" s="3" t="s">
        <v>7</v>
      </c>
      <c r="AW22" s="3" t="s">
        <v>7</v>
      </c>
      <c r="AX22" s="3" t="s">
        <v>7</v>
      </c>
      <c r="AY22" s="3" t="s">
        <v>7</v>
      </c>
      <c r="AZ22" s="3" t="s">
        <v>7</v>
      </c>
      <c r="BA22" s="3" t="s">
        <v>51</v>
      </c>
      <c r="BB22" s="3" t="s">
        <v>51</v>
      </c>
      <c r="BC22" s="3" t="s">
        <v>51</v>
      </c>
      <c r="BD22" s="3" t="s">
        <v>7</v>
      </c>
      <c r="BE22" s="3" t="s">
        <v>7</v>
      </c>
    </row>
    <row r="23" spans="1:57" x14ac:dyDescent="0.2">
      <c r="A23" t="s">
        <v>34</v>
      </c>
      <c r="B23" s="3">
        <f t="shared" si="9"/>
        <v>47</v>
      </c>
      <c r="C23" s="3">
        <f t="shared" si="10"/>
        <v>32</v>
      </c>
      <c r="D23" s="5">
        <f t="shared" si="4"/>
        <v>0</v>
      </c>
      <c r="E23" s="3">
        <f t="shared" si="0"/>
        <v>2</v>
      </c>
      <c r="F23" s="3">
        <f t="shared" si="1"/>
        <v>11</v>
      </c>
      <c r="G23" s="3">
        <f t="shared" si="5"/>
        <v>0</v>
      </c>
      <c r="H23" s="3">
        <f t="shared" si="6"/>
        <v>2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51</v>
      </c>
      <c r="AP23" s="3" t="s">
        <v>7</v>
      </c>
      <c r="AQ23" s="3" t="s">
        <v>7</v>
      </c>
      <c r="AR23" s="3" t="s">
        <v>7</v>
      </c>
      <c r="AS23" s="3" t="s">
        <v>7</v>
      </c>
      <c r="AT23" s="3" t="s">
        <v>7</v>
      </c>
      <c r="AU23" s="3" t="s">
        <v>44</v>
      </c>
      <c r="AV23" s="3" t="s">
        <v>44</v>
      </c>
      <c r="AW23" s="3" t="s">
        <v>44</v>
      </c>
      <c r="AX23" s="3" t="s">
        <v>44</v>
      </c>
      <c r="AY23" s="3" t="s">
        <v>44</v>
      </c>
      <c r="AZ23" s="3" t="s">
        <v>44</v>
      </c>
      <c r="BA23" s="3" t="s">
        <v>44</v>
      </c>
      <c r="BB23" s="3" t="s">
        <v>44</v>
      </c>
      <c r="BC23" s="3" t="s">
        <v>44</v>
      </c>
      <c r="BD23" s="3" t="s">
        <v>44</v>
      </c>
      <c r="BE23" s="3" t="s">
        <v>44</v>
      </c>
    </row>
    <row r="24" spans="1:57" x14ac:dyDescent="0.2">
      <c r="A24" t="s">
        <v>36</v>
      </c>
      <c r="B24" s="3">
        <f t="shared" si="9"/>
        <v>47</v>
      </c>
      <c r="C24" s="3">
        <f t="shared" si="10"/>
        <v>44</v>
      </c>
      <c r="D24" s="5">
        <f t="shared" si="4"/>
        <v>0</v>
      </c>
      <c r="E24" s="3">
        <f t="shared" si="0"/>
        <v>0</v>
      </c>
      <c r="F24" s="3">
        <f t="shared" si="1"/>
        <v>2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3" t="s">
        <v>7</v>
      </c>
      <c r="AQ24" s="3" t="s">
        <v>7</v>
      </c>
      <c r="AR24" s="3" t="s">
        <v>7</v>
      </c>
      <c r="AS24" s="3" t="s">
        <v>7</v>
      </c>
      <c r="AT24" s="3" t="s">
        <v>7</v>
      </c>
      <c r="AU24" s="3" t="s">
        <v>7</v>
      </c>
      <c r="AV24" s="3" t="s">
        <v>7</v>
      </c>
      <c r="AW24" s="3" t="s">
        <v>7</v>
      </c>
      <c r="AX24" s="3" t="s">
        <v>7</v>
      </c>
      <c r="AY24" s="3" t="s">
        <v>7</v>
      </c>
      <c r="AZ24" s="3" t="s">
        <v>7</v>
      </c>
      <c r="BA24" s="3" t="s">
        <v>7</v>
      </c>
      <c r="BB24" s="3" t="s">
        <v>7</v>
      </c>
      <c r="BC24" s="3" t="s">
        <v>7</v>
      </c>
      <c r="BD24" s="3" t="s">
        <v>44</v>
      </c>
      <c r="BE24" s="3" t="s">
        <v>44</v>
      </c>
    </row>
    <row r="25" spans="1:57" x14ac:dyDescent="0.2">
      <c r="A25" t="s">
        <v>35</v>
      </c>
      <c r="B25" s="3">
        <f t="shared" si="9"/>
        <v>47</v>
      </c>
      <c r="C25" s="3">
        <f t="shared" si="10"/>
        <v>37</v>
      </c>
      <c r="D25" s="5">
        <f t="shared" si="4"/>
        <v>0</v>
      </c>
      <c r="E25" s="3">
        <f t="shared" si="0"/>
        <v>4</v>
      </c>
      <c r="F25" s="3">
        <f t="shared" si="1"/>
        <v>4</v>
      </c>
      <c r="G25" s="3">
        <f t="shared" si="5"/>
        <v>0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  <c r="AO25" s="3" t="s">
        <v>7</v>
      </c>
      <c r="AP25" s="3" t="s">
        <v>18</v>
      </c>
      <c r="AQ25" s="3" t="s">
        <v>7</v>
      </c>
      <c r="AR25" s="3" t="s">
        <v>7</v>
      </c>
      <c r="AS25" s="3" t="s">
        <v>7</v>
      </c>
      <c r="AT25" s="3" t="s">
        <v>7</v>
      </c>
      <c r="AU25" s="3" t="s">
        <v>7</v>
      </c>
      <c r="AV25" s="3" t="s">
        <v>7</v>
      </c>
      <c r="AW25" s="3" t="s">
        <v>7</v>
      </c>
      <c r="AX25" s="3" t="s">
        <v>7</v>
      </c>
      <c r="AY25" s="3" t="s">
        <v>7</v>
      </c>
      <c r="AZ25" s="3" t="s">
        <v>7</v>
      </c>
      <c r="BA25" s="3" t="s">
        <v>18</v>
      </c>
      <c r="BB25" s="3" t="s">
        <v>7</v>
      </c>
      <c r="BC25" s="3" t="s">
        <v>7</v>
      </c>
      <c r="BD25" s="3" t="s">
        <v>7</v>
      </c>
      <c r="BE25" s="3" t="s">
        <v>7</v>
      </c>
    </row>
    <row r="26" spans="1:57" x14ac:dyDescent="0.2">
      <c r="A26" t="s">
        <v>15</v>
      </c>
      <c r="B26" s="3">
        <f t="shared" si="9"/>
        <v>47</v>
      </c>
      <c r="C26" s="3">
        <f t="shared" si="10"/>
        <v>35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1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51</v>
      </c>
      <c r="AP26" s="3" t="s">
        <v>7</v>
      </c>
      <c r="AQ26" s="3" t="s">
        <v>7</v>
      </c>
      <c r="AR26" s="3" t="s">
        <v>7</v>
      </c>
      <c r="AS26" s="3" t="s">
        <v>7</v>
      </c>
      <c r="AT26" s="3" t="s">
        <v>7</v>
      </c>
      <c r="AU26" s="3" t="s">
        <v>7</v>
      </c>
      <c r="AV26" s="3" t="s">
        <v>7</v>
      </c>
      <c r="AW26" s="3" t="s">
        <v>7</v>
      </c>
      <c r="AX26" s="3" t="s">
        <v>7</v>
      </c>
      <c r="AY26" s="3" t="s">
        <v>7</v>
      </c>
      <c r="AZ26" s="3" t="s">
        <v>7</v>
      </c>
      <c r="BA26" s="3" t="s">
        <v>7</v>
      </c>
      <c r="BB26" s="3" t="s">
        <v>7</v>
      </c>
      <c r="BC26" s="3" t="s">
        <v>7</v>
      </c>
      <c r="BD26" s="3" t="s">
        <v>7</v>
      </c>
      <c r="BE26" s="3" t="s">
        <v>7</v>
      </c>
    </row>
    <row r="27" spans="1:57" x14ac:dyDescent="0.2">
      <c r="A27" t="s">
        <v>38</v>
      </c>
      <c r="B27" s="3">
        <f t="shared" ref="B27:B29" si="11">COUNTA(K27:VR27)</f>
        <v>44</v>
      </c>
      <c r="C27" s="3">
        <f t="shared" ref="C27:C29" si="12">COUNTIF(K27:VR27,"P")</f>
        <v>40</v>
      </c>
      <c r="D27" s="5">
        <f t="shared" ref="D27:D29" si="13">COUNTIF(K27:VR27,"REP")</f>
        <v>1</v>
      </c>
      <c r="E27" s="3">
        <f t="shared" ref="E27:E29" si="14">COUNTIF(K27:VS27,"A")</f>
        <v>1</v>
      </c>
      <c r="F27" s="3">
        <f t="shared" ref="F27:F29" si="15">COUNTIF(K27:VT27,"B")</f>
        <v>2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  <c r="AO27" s="3" t="s">
        <v>7</v>
      </c>
      <c r="AP27" s="3" t="s">
        <v>7</v>
      </c>
      <c r="AQ27" s="3" t="s">
        <v>7</v>
      </c>
      <c r="AR27" s="3" t="s">
        <v>7</v>
      </c>
      <c r="AS27" s="3" t="s">
        <v>7</v>
      </c>
      <c r="AT27" s="3" t="s">
        <v>7</v>
      </c>
      <c r="AU27" s="3" t="s">
        <v>18</v>
      </c>
      <c r="AV27" s="3" t="s">
        <v>7</v>
      </c>
      <c r="AW27" s="3" t="s">
        <v>7</v>
      </c>
      <c r="AX27" s="3" t="s">
        <v>7</v>
      </c>
      <c r="AY27" s="3" t="s">
        <v>7</v>
      </c>
      <c r="AZ27" s="3" t="s">
        <v>7</v>
      </c>
      <c r="BA27" s="3" t="s">
        <v>7</v>
      </c>
      <c r="BB27" s="3" t="s">
        <v>7</v>
      </c>
      <c r="BC27" s="3" t="s">
        <v>7</v>
      </c>
      <c r="BD27" s="3" t="s">
        <v>44</v>
      </c>
      <c r="BE27" s="3" t="s">
        <v>44</v>
      </c>
    </row>
    <row r="28" spans="1:57" x14ac:dyDescent="0.2">
      <c r="A28" t="s">
        <v>39</v>
      </c>
      <c r="B28" s="3">
        <f t="shared" si="11"/>
        <v>43</v>
      </c>
      <c r="C28" s="3">
        <f t="shared" si="12"/>
        <v>42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1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3" t="s">
        <v>7</v>
      </c>
      <c r="AQ28" s="3" t="s">
        <v>7</v>
      </c>
      <c r="AR28" s="3" t="s">
        <v>7</v>
      </c>
      <c r="AS28" s="3" t="s">
        <v>7</v>
      </c>
      <c r="AT28" s="3" t="s">
        <v>7</v>
      </c>
      <c r="AU28" s="3" t="s">
        <v>7</v>
      </c>
      <c r="AV28" s="3" t="s">
        <v>7</v>
      </c>
      <c r="AW28" s="3" t="s">
        <v>7</v>
      </c>
      <c r="AX28" s="3" t="s">
        <v>7</v>
      </c>
      <c r="AY28" s="3" t="s">
        <v>7</v>
      </c>
      <c r="AZ28" s="3" t="s">
        <v>7</v>
      </c>
      <c r="BA28" s="3" t="s">
        <v>7</v>
      </c>
      <c r="BB28" s="3" t="s">
        <v>7</v>
      </c>
      <c r="BC28" s="3" t="s">
        <v>7</v>
      </c>
      <c r="BD28" s="3" t="s">
        <v>7</v>
      </c>
      <c r="BE28" s="3" t="s">
        <v>50</v>
      </c>
    </row>
    <row r="29" spans="1:57" x14ac:dyDescent="0.2">
      <c r="A29" t="s">
        <v>48</v>
      </c>
      <c r="B29" s="3">
        <f t="shared" si="11"/>
        <v>25</v>
      </c>
      <c r="C29" s="3">
        <f t="shared" si="12"/>
        <v>20</v>
      </c>
      <c r="D29" s="5">
        <f t="shared" si="13"/>
        <v>0</v>
      </c>
      <c r="E29" s="3">
        <f t="shared" si="14"/>
        <v>1</v>
      </c>
      <c r="F29" s="3">
        <f t="shared" si="15"/>
        <v>4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  <c r="AO29" s="3" t="s">
        <v>7</v>
      </c>
      <c r="AP29" s="3" t="s">
        <v>7</v>
      </c>
      <c r="AQ29" s="3" t="s">
        <v>7</v>
      </c>
      <c r="AR29" s="3" t="s">
        <v>7</v>
      </c>
      <c r="AS29" s="3" t="s">
        <v>7</v>
      </c>
      <c r="AT29" s="3" t="s">
        <v>7</v>
      </c>
      <c r="AU29" s="3" t="s">
        <v>7</v>
      </c>
      <c r="AV29" s="3" t="s">
        <v>7</v>
      </c>
      <c r="AW29" s="3" t="s">
        <v>7</v>
      </c>
      <c r="AX29" s="3" t="s">
        <v>7</v>
      </c>
      <c r="AY29" s="3" t="s">
        <v>7</v>
      </c>
      <c r="AZ29" s="3" t="s">
        <v>7</v>
      </c>
      <c r="BA29" s="3" t="s">
        <v>7</v>
      </c>
      <c r="BB29" s="3" t="s">
        <v>7</v>
      </c>
      <c r="BC29" s="3" t="s">
        <v>7</v>
      </c>
      <c r="BD29" s="3" t="s">
        <v>7</v>
      </c>
      <c r="BE29" s="3" t="s">
        <v>7</v>
      </c>
    </row>
    <row r="30" spans="1:57" x14ac:dyDescent="0.2">
      <c r="A30" t="s">
        <v>49</v>
      </c>
      <c r="B30" s="3">
        <f t="shared" ref="B30" si="20">COUNTA(K30:VR30)</f>
        <v>25</v>
      </c>
      <c r="C30" s="3">
        <f t="shared" ref="C30" si="21">COUNTIF(K30:VR30,"P")</f>
        <v>11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8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6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  <c r="AO30" s="3" t="s">
        <v>7</v>
      </c>
      <c r="AP30" s="3" t="s">
        <v>7</v>
      </c>
      <c r="AQ30" s="3" t="s">
        <v>44</v>
      </c>
      <c r="AR30" s="3" t="s">
        <v>20</v>
      </c>
      <c r="AS30" s="3" t="s">
        <v>20</v>
      </c>
      <c r="AT30" s="3" t="s">
        <v>44</v>
      </c>
      <c r="AU30" s="3" t="s">
        <v>7</v>
      </c>
      <c r="AV30" s="3" t="s">
        <v>7</v>
      </c>
      <c r="AW30" s="3" t="s">
        <v>7</v>
      </c>
      <c r="AX30" s="3" t="s">
        <v>7</v>
      </c>
      <c r="AY30" s="3" t="s">
        <v>7</v>
      </c>
      <c r="AZ30" s="3" t="s">
        <v>7</v>
      </c>
      <c r="BA30" s="3" t="s">
        <v>44</v>
      </c>
      <c r="BB30" s="3" t="s">
        <v>44</v>
      </c>
      <c r="BC30" s="3" t="s">
        <v>44</v>
      </c>
      <c r="BD30" s="3" t="s">
        <v>44</v>
      </c>
      <c r="BE30" s="3" t="s">
        <v>44</v>
      </c>
    </row>
    <row r="31" spans="1:57" x14ac:dyDescent="0.2">
      <c r="A31" t="s">
        <v>52</v>
      </c>
      <c r="B31" s="3">
        <f t="shared" ref="B31" si="29">COUNTA(K31:VR31)</f>
        <v>25</v>
      </c>
      <c r="C31" s="3">
        <f t="shared" ref="C31" si="30">COUNTIF(K31:VR31,"P")</f>
        <v>22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3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3" t="s">
        <v>7</v>
      </c>
      <c r="AQ31" s="3" t="s">
        <v>7</v>
      </c>
      <c r="AR31" s="3" t="s">
        <v>7</v>
      </c>
      <c r="AS31" s="3" t="s">
        <v>7</v>
      </c>
      <c r="AT31" s="3" t="s">
        <v>7</v>
      </c>
      <c r="AU31" s="3" t="s">
        <v>7</v>
      </c>
      <c r="AV31" s="3" t="s">
        <v>7</v>
      </c>
      <c r="AW31" s="3" t="s">
        <v>51</v>
      </c>
      <c r="AX31" s="3" t="s">
        <v>51</v>
      </c>
      <c r="AY31" s="3" t="s">
        <v>7</v>
      </c>
      <c r="AZ31" s="3" t="s">
        <v>7</v>
      </c>
      <c r="BA31" s="3" t="s">
        <v>7</v>
      </c>
      <c r="BB31" s="3" t="s">
        <v>7</v>
      </c>
      <c r="BC31" s="3" t="s">
        <v>7</v>
      </c>
      <c r="BD31" s="3" t="s">
        <v>7</v>
      </c>
      <c r="BE31" s="3" t="s">
        <v>7</v>
      </c>
    </row>
    <row r="32" spans="1:57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2026-09-23T07:46:48Z</dcterms:modified>
</cp:coreProperties>
</file>