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23806D57-0ABD-4B40-853A-90C150BC7759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<sst xmlns="http://schemas.openxmlformats.org/spreadsheetml/2006/main" count="1692" uniqueCount="54">
  <si>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</si>
  <si>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</si>
  <si>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</si>
  <si>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</si>
  <si>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</si>
  <si>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</si>
  <si>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</si>
  <si>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</si>
  <si>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</si>
  <si>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</si>
  <si>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</si>
  <si>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</si>
  <si>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</si>
  <si>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</si>
  <si>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</si>
  <si>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</si>
  <si>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</si>
  <si>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</si>
  <si>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</si>
  <si>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</si>
  <si>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</si>
  <si>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</si>
  <si>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</si>
  <si>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</si>
  <si>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</si>
  <si>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</si>
  <si>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</si>
  <si>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</si>
  <si>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</si>
  <si>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</si>
  <si>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</si>
  <si>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</si>
  <si>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</si>
  <si>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</si>
  <si>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</si>
  <si>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</si>
  <si>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</si>
  <si>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</si>
  <si>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</si>
  <si>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</si>
  <si>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</si>
  <si>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</si>
  <si>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</si>
  <si>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</si>
  <si>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</si>
  <si>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</si>
  <si>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</si>
  <si>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</si>
  <si>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</si>
  <si>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</si>
  <si>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</si>
  <si>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</si>
  <si>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</si>
  <si>
    <t>Glenn Manga-Tabi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</si>
</sst>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O32"/>
  <sheetViews>
    <sheetView tabSelected="1" workbookViewId="0">
      <pane xSplit="1" topLeftCell="BO1" activePane="topRight" state="frozen"/>
      <selection pane="topRight" activeCell="BT10" sqref="BT10"/>
    </sheetView>
  </sheetViews>
  <sheetFormatPr baseColWidth="10" defaultRowHeight="16" x14ac:dyDescent="0.2"/>
  <cols>
    <col min="1" max="1" width="17.1640625" customWidth="1"/>
  </cols>
  <sheetData>
    <row r="1" spans="1:67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  <c r="BJ1" s="6">
        <v>46295</v>
      </c>
      <c r="BK1" s="6">
        <v>46297</v>
      </c>
      <c r="BL1" s="4">
        <v>46300</v>
      </c>
      <c r="BM1" s="4">
        <v>46301</v>
      </c>
      <c r="BN1" s="4">
        <v>46302</v>
      </c>
      <c r="BO1" s="4">
        <v>46303</v>
      </c>
    </row>
    <row r="2" spans="1:67" x14ac:dyDescent="0.2">
      <c r="A2" t="s">
        <v>9</v>
      </c>
      <c r="B2" s="3">
        <f>COUNTA(K2:VR2)</f>
        <v>57</v>
      </c>
      <c r="C2" s="3">
        <f>COUNTIF(K2:VR2,"P")</f>
        <v>33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  <c r="BJ2" s="3" t="s">
        <v>7</v>
      </c>
      <c r="BK2" s="3" t="s">
        <v>7</v>
      </c>
      <c r="BL2" s="3" t="s">
        <v>7</v>
      </c>
      <c r="BM2" s="3" t="s">
        <v>7</v>
      </c>
      <c r="BN2" s="3" t="s">
        <v>7</v>
      </c>
      <c r="BO2" s="3" t="s">
        <v>7</v>
      </c>
    </row>
    <row r="3" spans="1:67" x14ac:dyDescent="0.2">
      <c r="A3" t="s">
        <v>10</v>
      </c>
      <c r="B3" s="3">
        <f t="shared" ref="B3:B21" si="2">COUNTA(K3:VR3)</f>
        <v>57</v>
      </c>
      <c r="C3" s="3">
        <f t="shared" ref="C3:C21" si="3">COUNTIF(K3:VR3,"P")</f>
        <v>42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  <c r="BJ3" s="3" t="s">
        <v>7</v>
      </c>
      <c r="BK3" s="3" t="s">
        <v>7</v>
      </c>
      <c r="BL3" s="3" t="s">
        <v>7</v>
      </c>
      <c r="BM3" s="3" t="s">
        <v>7</v>
      </c>
      <c r="BN3" s="3" t="s">
        <v>7</v>
      </c>
      <c r="BO3" s="3" t="s">
        <v>7</v>
      </c>
    </row>
    <row r="4" spans="1:67" x14ac:dyDescent="0.2">
      <c r="A4" t="s">
        <v>24</v>
      </c>
      <c r="B4" s="3">
        <f t="shared" si="2"/>
        <v>57</v>
      </c>
      <c r="C4" s="3">
        <f t="shared" si="3"/>
        <v>55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2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  <c r="BJ4" s="3" t="s">
        <v>7</v>
      </c>
      <c r="BK4" s="3" t="s">
        <v>7</v>
      </c>
      <c r="BL4" s="3" t="s">
        <v>7</v>
      </c>
      <c r="BM4" s="3" t="s">
        <v>7</v>
      </c>
      <c r="BN4" s="3" t="s">
        <v>7</v>
      </c>
      <c r="BO4" s="3" t="s">
        <v>7</v>
      </c>
    </row>
    <row r="5" spans="1:67" x14ac:dyDescent="0.2">
      <c r="A5" t="s">
        <v>11</v>
      </c>
      <c r="B5" s="3">
        <f t="shared" si="2"/>
        <v>57</v>
      </c>
      <c r="C5" s="3">
        <f t="shared" si="3"/>
        <v>53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  <c r="BJ5" s="3" t="s">
        <v>7</v>
      </c>
      <c r="BK5" s="3" t="s">
        <v>7</v>
      </c>
      <c r="BL5" s="3" t="s">
        <v>7</v>
      </c>
      <c r="BM5" s="3" t="s">
        <v>7</v>
      </c>
      <c r="BN5" s="3" t="s">
        <v>7</v>
      </c>
      <c r="BO5" s="3" t="s">
        <v>7</v>
      </c>
    </row>
    <row r="6" spans="1:67" x14ac:dyDescent="0.2">
      <c r="A6" t="s">
        <v>25</v>
      </c>
      <c r="B6" s="3">
        <f t="shared" si="2"/>
        <v>57</v>
      </c>
      <c r="C6" s="3">
        <f t="shared" si="3"/>
        <v>57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  <c r="BJ6" s="3" t="s">
        <v>7</v>
      </c>
      <c r="BK6" s="3" t="s">
        <v>7</v>
      </c>
      <c r="BL6" s="3" t="s">
        <v>7</v>
      </c>
      <c r="BM6" s="3" t="s">
        <v>7</v>
      </c>
      <c r="BN6" s="3" t="s">
        <v>7</v>
      </c>
      <c r="BO6" s="3" t="s">
        <v>7</v>
      </c>
    </row>
    <row r="7" spans="1:67" x14ac:dyDescent="0.2">
      <c r="A7" t="s">
        <v>26</v>
      </c>
      <c r="B7" s="3">
        <f t="shared" si="2"/>
        <v>57</v>
      </c>
      <c r="C7" s="3">
        <f t="shared" si="3"/>
        <v>42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7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51</v>
      </c>
      <c r="BL7" s="3" t="s">
        <v>7</v>
      </c>
      <c r="BM7" s="3" t="s">
        <v>7</v>
      </c>
      <c r="BN7" s="3" t="s">
        <v>7</v>
      </c>
      <c r="BO7" s="3" t="s">
        <v>7</v>
      </c>
    </row>
    <row r="8" spans="1:67" x14ac:dyDescent="0.2">
      <c r="A8" t="s">
        <v>27</v>
      </c>
      <c r="B8" s="3">
        <f t="shared" si="2"/>
        <v>57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34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  <c r="BJ8" s="3" t="s">
        <v>44</v>
      </c>
      <c r="BK8" s="3" t="s">
        <v>44</v>
      </c>
      <c r="BL8" s="3" t="s">
        <v>44</v>
      </c>
      <c r="BM8" s="3" t="s">
        <v>44</v>
      </c>
      <c r="BN8" s="3" t="s">
        <v>44</v>
      </c>
      <c r="BO8" s="3" t="s">
        <v>44</v>
      </c>
    </row>
    <row r="9" spans="1:67" x14ac:dyDescent="0.2">
      <c r="A9" t="s">
        <v>17</v>
      </c>
      <c r="B9" s="3">
        <f t="shared" si="2"/>
        <v>57</v>
      </c>
      <c r="C9" s="3">
        <f t="shared" si="3"/>
        <v>50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0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  <c r="BJ9" s="3" t="s">
        <v>7</v>
      </c>
      <c r="BK9" s="3" t="s">
        <v>7</v>
      </c>
      <c r="BL9" s="3" t="s">
        <v>7</v>
      </c>
      <c r="BM9" s="3" t="s">
        <v>7</v>
      </c>
      <c r="BN9" s="3" t="s">
        <v>7</v>
      </c>
      <c r="BO9" s="3" t="s">
        <v>7</v>
      </c>
    </row>
    <row r="10" spans="1:67" x14ac:dyDescent="0.2">
      <c r="A10" t="s">
        <v>28</v>
      </c>
      <c r="B10" s="3">
        <f t="shared" si="2"/>
        <v>57</v>
      </c>
      <c r="C10" s="3">
        <f t="shared" si="3"/>
        <v>48</v>
      </c>
      <c r="D10" s="5">
        <f t="shared" si="4"/>
        <v>0</v>
      </c>
      <c r="E10" s="3">
        <f t="shared" si="0"/>
        <v>2</v>
      </c>
      <c r="F10" s="3">
        <f t="shared" si="1"/>
        <v>4</v>
      </c>
      <c r="G10" s="3">
        <f t="shared" si="5"/>
        <v>3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  <c r="BJ10" s="3" t="s">
        <v>50</v>
      </c>
      <c r="BK10" s="3" t="s">
        <v>7</v>
      </c>
      <c r="BL10" s="3" t="s">
        <v>7</v>
      </c>
      <c r="BM10" s="3" t="s">
        <v>50</v>
      </c>
      <c r="BN10" s="3" t="s">
        <v>7</v>
      </c>
      <c r="BO10" s="3" t="s">
        <v>18</v>
      </c>
    </row>
    <row r="11" spans="1:67" x14ac:dyDescent="0.2">
      <c r="A11" t="s">
        <v>12</v>
      </c>
      <c r="B11" s="3">
        <f t="shared" si="2"/>
        <v>57</v>
      </c>
      <c r="C11" s="3">
        <f t="shared" si="3"/>
        <v>57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  <c r="BJ11" s="3" t="s">
        <v>7</v>
      </c>
      <c r="BK11" s="3" t="s">
        <v>7</v>
      </c>
      <c r="BL11" s="3" t="s">
        <v>7</v>
      </c>
      <c r="BM11" s="3" t="s">
        <v>7</v>
      </c>
      <c r="BN11" s="3" t="s">
        <v>7</v>
      </c>
      <c r="BO11" s="3" t="s">
        <v>7</v>
      </c>
    </row>
    <row r="12" spans="1:67" x14ac:dyDescent="0.2">
      <c r="A12" t="s">
        <v>13</v>
      </c>
      <c r="B12" s="3">
        <f t="shared" si="2"/>
        <v>57</v>
      </c>
      <c r="C12" s="3">
        <f t="shared" si="3"/>
        <v>49</v>
      </c>
      <c r="D12" s="5">
        <f t="shared" si="4"/>
        <v>0</v>
      </c>
      <c r="E12" s="3">
        <f t="shared" si="0"/>
        <v>0</v>
      </c>
      <c r="F12" s="3">
        <f t="shared" si="1"/>
        <v>5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  <c r="BJ12" s="3" t="s">
        <v>7</v>
      </c>
      <c r="BK12" s="3" t="s">
        <v>7</v>
      </c>
      <c r="BL12" s="3" t="s">
        <v>44</v>
      </c>
      <c r="BM12" s="3" t="s">
        <v>44</v>
      </c>
      <c r="BN12" s="3" t="s">
        <v>7</v>
      </c>
      <c r="BO12" s="3" t="s">
        <v>7</v>
      </c>
    </row>
    <row r="13" spans="1:67" x14ac:dyDescent="0.2">
      <c r="A13" t="s">
        <v>23</v>
      </c>
      <c r="B13" s="3">
        <f t="shared" si="2"/>
        <v>57</v>
      </c>
      <c r="C13" s="3">
        <f t="shared" si="3"/>
        <v>52</v>
      </c>
      <c r="D13" s="5">
        <f t="shared" si="4"/>
        <v>0</v>
      </c>
      <c r="E13" s="3">
        <f t="shared" si="0"/>
        <v>0</v>
      </c>
      <c r="F13" s="3">
        <f t="shared" si="1"/>
        <v>4</v>
      </c>
      <c r="G13" s="3">
        <f t="shared" si="5"/>
        <v>1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  <c r="BJ13" s="3" t="s">
        <v>7</v>
      </c>
      <c r="BK13" s="3" t="s">
        <v>7</v>
      </c>
      <c r="BL13" s="3" t="s">
        <v>44</v>
      </c>
      <c r="BM13" s="3" t="s">
        <v>44</v>
      </c>
      <c r="BN13" s="3" t="s">
        <v>44</v>
      </c>
      <c r="BO13" s="3" t="s">
        <v>44</v>
      </c>
    </row>
    <row r="14" spans="1:67" x14ac:dyDescent="0.2">
      <c r="A14" t="s">
        <v>14</v>
      </c>
      <c r="B14" s="3">
        <f t="shared" si="2"/>
        <v>57</v>
      </c>
      <c r="C14" s="3">
        <f t="shared" si="3"/>
        <v>52</v>
      </c>
      <c r="D14" s="5">
        <f t="shared" si="4"/>
        <v>0</v>
      </c>
      <c r="E14" s="3">
        <f t="shared" si="0"/>
        <v>0</v>
      </c>
      <c r="F14" s="3">
        <f t="shared" si="1"/>
        <v>5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  <c r="BJ14" s="3" t="s">
        <v>7</v>
      </c>
      <c r="BK14" s="3" t="s">
        <v>7</v>
      </c>
      <c r="BL14" s="3" t="s">
        <v>44</v>
      </c>
      <c r="BM14" s="3" t="s">
        <v>44</v>
      </c>
      <c r="BN14" s="3" t="s">
        <v>7</v>
      </c>
      <c r="BO14" s="3" t="s">
        <v>7</v>
      </c>
    </row>
    <row r="15" spans="1:67" x14ac:dyDescent="0.2">
      <c r="A15" t="s">
        <v>29</v>
      </c>
      <c r="B15" s="3">
        <f t="shared" si="2"/>
        <v>57</v>
      </c>
      <c r="C15" s="3">
        <f t="shared" si="3"/>
        <v>47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  <c r="BJ15" s="3" t="s">
        <v>7</v>
      </c>
      <c r="BK15" s="3" t="s">
        <v>7</v>
      </c>
      <c r="BL15" s="3" t="s">
        <v>7</v>
      </c>
      <c r="BM15" s="3" t="s">
        <v>7</v>
      </c>
      <c r="BN15" s="3" t="s">
        <v>7</v>
      </c>
      <c r="BO15" s="3" t="s">
        <v>7</v>
      </c>
    </row>
    <row r="16" spans="1:67" x14ac:dyDescent="0.2">
      <c r="A16" t="s">
        <v>30</v>
      </c>
      <c r="B16" s="3">
        <f t="shared" si="2"/>
        <v>57</v>
      </c>
      <c r="C16" s="3">
        <f t="shared" si="3"/>
        <v>38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0</v>
      </c>
      <c r="H16" s="3">
        <f t="shared" si="6"/>
        <v>11</v>
      </c>
      <c r="I16" s="3">
        <f t="shared" si="7"/>
        <v>1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  <c r="BJ16" s="3" t="s">
        <v>20</v>
      </c>
      <c r="BK16" s="3" t="s">
        <v>51</v>
      </c>
      <c r="BL16" s="3" t="s">
        <v>7</v>
      </c>
      <c r="BM16" s="3" t="s">
        <v>7</v>
      </c>
      <c r="BN16" s="3" t="s">
        <v>7</v>
      </c>
      <c r="BO16" s="3" t="s">
        <v>7</v>
      </c>
    </row>
    <row r="17" spans="1:67" x14ac:dyDescent="0.2">
      <c r="A17" t="s">
        <v>31</v>
      </c>
      <c r="B17" s="3">
        <f t="shared" si="2"/>
        <v>57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7</v>
      </c>
      <c r="G17" s="3">
        <f t="shared" si="5"/>
        <v>0</v>
      </c>
      <c r="H17" s="3">
        <f t="shared" si="6"/>
        <v>0</v>
      </c>
      <c r="I17" s="3">
        <f t="shared" si="7"/>
        <v>6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  <c r="BJ17" s="3" t="s">
        <v>20</v>
      </c>
      <c r="BK17" s="3" t="s">
        <v>20</v>
      </c>
      <c r="BL17" s="3" t="s">
        <v>20</v>
      </c>
      <c r="BM17" s="3" t="s">
        <v>20</v>
      </c>
      <c r="BN17" s="3" t="s">
        <v>20</v>
      </c>
      <c r="BO17" s="3" t="s">
        <v>20</v>
      </c>
    </row>
    <row r="18" spans="1:67" x14ac:dyDescent="0.2">
      <c r="A18" t="s">
        <v>21</v>
      </c>
      <c r="B18" s="3">
        <f t="shared" si="2"/>
        <v>57</v>
      </c>
      <c r="C18" s="3">
        <f t="shared" si="3"/>
        <v>54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  <c r="BJ18" s="3" t="s">
        <v>7</v>
      </c>
      <c r="BK18" s="3" t="s">
        <v>7</v>
      </c>
      <c r="BL18" s="3" t="s">
        <v>7</v>
      </c>
      <c r="BM18" s="3" t="s">
        <v>7</v>
      </c>
      <c r="BN18" s="3" t="s">
        <v>7</v>
      </c>
      <c r="BO18" s="3" t="s">
        <v>7</v>
      </c>
    </row>
    <row r="19" spans="1:67" x14ac:dyDescent="0.2">
      <c r="A19" t="s">
        <v>16</v>
      </c>
      <c r="B19" s="3">
        <f t="shared" si="2"/>
        <v>57</v>
      </c>
      <c r="C19" s="3">
        <f t="shared" si="3"/>
        <v>51</v>
      </c>
      <c r="D19" s="5">
        <f t="shared" si="4"/>
        <v>0</v>
      </c>
      <c r="E19" s="3">
        <f t="shared" si="0"/>
        <v>0</v>
      </c>
      <c r="F19" s="3">
        <f t="shared" si="1"/>
        <v>6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  <c r="BJ19" s="3" t="s">
        <v>7</v>
      </c>
      <c r="BK19" s="3" t="s">
        <v>44</v>
      </c>
      <c r="BL19" s="3" t="s">
        <v>44</v>
      </c>
      <c r="BM19" s="3" t="s">
        <v>44</v>
      </c>
      <c r="BN19" s="3" t="s">
        <v>44</v>
      </c>
      <c r="BO19" s="3" t="s">
        <v>44</v>
      </c>
    </row>
    <row r="20" spans="1:67" x14ac:dyDescent="0.2">
      <c r="A20" t="s">
        <v>37</v>
      </c>
      <c r="B20" s="3">
        <f t="shared" si="2"/>
        <v>57</v>
      </c>
      <c r="C20" s="3">
        <f t="shared" si="3"/>
        <v>37</v>
      </c>
      <c r="D20" s="5">
        <f t="shared" si="4"/>
        <v>0</v>
      </c>
      <c r="E20" s="3">
        <f t="shared" si="0"/>
        <v>7</v>
      </c>
      <c r="F20" s="3">
        <f t="shared" si="1"/>
        <v>1</v>
      </c>
      <c r="G20" s="3">
        <f t="shared" si="5"/>
        <v>6</v>
      </c>
      <c r="H20" s="3">
        <f t="shared" si="6"/>
        <v>6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  <c r="BJ20" s="3" t="s">
        <v>7</v>
      </c>
      <c r="BK20" s="3" t="s">
        <v>51</v>
      </c>
      <c r="BL20" s="3" t="s">
        <v>7</v>
      </c>
      <c r="BM20" s="3" t="s">
        <v>50</v>
      </c>
      <c r="BN20" s="3" t="s">
        <v>50</v>
      </c>
      <c r="BO20" s="3" t="s">
        <v>50</v>
      </c>
    </row>
    <row r="21" spans="1:67" x14ac:dyDescent="0.2">
      <c r="A21" t="s">
        <v>32</v>
      </c>
      <c r="B21" s="3">
        <f t="shared" si="2"/>
        <v>57</v>
      </c>
      <c r="C21" s="3">
        <f t="shared" si="3"/>
        <v>46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11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  <c r="BJ21" s="3" t="s">
        <v>7</v>
      </c>
      <c r="BK21" s="3" t="s">
        <v>51</v>
      </c>
      <c r="BL21" s="3" t="s">
        <v>7</v>
      </c>
      <c r="BM21" s="3" t="s">
        <v>7</v>
      </c>
      <c r="BN21" s="3" t="s">
        <v>7</v>
      </c>
      <c r="BO21" s="3" t="s">
        <v>7</v>
      </c>
    </row>
    <row r="22" spans="1:67" x14ac:dyDescent="0.2">
      <c r="A22" t="s">
        <v>33</v>
      </c>
      <c r="B22" s="3">
        <f t="shared" ref="B22:B26" si="9">COUNTA(K22:VR22)</f>
        <v>57</v>
      </c>
      <c r="C22" s="3">
        <f t="shared" ref="C22:C26" si="10">COUNTIF(K22:VR22,"P")</f>
        <v>41</v>
      </c>
      <c r="D22" s="5">
        <f t="shared" si="4"/>
        <v>0</v>
      </c>
      <c r="E22" s="3">
        <f t="shared" si="0"/>
        <v>0</v>
      </c>
      <c r="F22" s="3">
        <f t="shared" si="1"/>
        <v>4</v>
      </c>
      <c r="G22" s="3">
        <f t="shared" si="5"/>
        <v>0</v>
      </c>
      <c r="H22" s="3">
        <f t="shared" si="6"/>
        <v>9</v>
      </c>
      <c r="I22" s="3">
        <f t="shared" si="7"/>
        <v>3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  <c r="BJ22" s="3" t="s">
        <v>20</v>
      </c>
      <c r="BK22" s="3" t="s">
        <v>51</v>
      </c>
      <c r="BL22" s="3" t="s">
        <v>44</v>
      </c>
      <c r="BM22" s="3" t="s">
        <v>44</v>
      </c>
      <c r="BN22" s="3" t="s">
        <v>44</v>
      </c>
      <c r="BO22" s="3" t="s">
        <v>44</v>
      </c>
    </row>
    <row r="23" spans="1:67" x14ac:dyDescent="0.2">
      <c r="A23" t="s">
        <v>34</v>
      </c>
      <c r="B23" s="3">
        <f t="shared" si="9"/>
        <v>57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17</v>
      </c>
      <c r="G23" s="3">
        <f t="shared" si="5"/>
        <v>0</v>
      </c>
      <c r="H23" s="3">
        <f t="shared" si="6"/>
        <v>2</v>
      </c>
      <c r="I23" s="3">
        <f t="shared" si="7"/>
        <v>4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  <c r="BJ23" s="3" t="s">
        <v>44</v>
      </c>
      <c r="BK23" s="3" t="s">
        <v>44</v>
      </c>
      <c r="BL23" s="3" t="s">
        <v>20</v>
      </c>
      <c r="BM23" s="3" t="s">
        <v>20</v>
      </c>
      <c r="BN23" s="3" t="s">
        <v>20</v>
      </c>
      <c r="BO23" s="3" t="s">
        <v>20</v>
      </c>
    </row>
    <row r="24" spans="1:67" x14ac:dyDescent="0.2">
      <c r="A24" t="s">
        <v>36</v>
      </c>
      <c r="B24" s="3">
        <f t="shared" si="9"/>
        <v>57</v>
      </c>
      <c r="C24" s="3">
        <f t="shared" si="10"/>
        <v>47</v>
      </c>
      <c r="D24" s="5">
        <f t="shared" si="4"/>
        <v>0</v>
      </c>
      <c r="E24" s="3">
        <f t="shared" si="0"/>
        <v>0</v>
      </c>
      <c r="F24" s="3">
        <f t="shared" si="1"/>
        <v>9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7</v>
      </c>
      <c r="BJ24" s="3" t="s">
        <v>7</v>
      </c>
      <c r="BK24" s="3" t="s">
        <v>7</v>
      </c>
      <c r="BL24" s="3" t="s">
        <v>44</v>
      </c>
      <c r="BM24" s="3" t="s">
        <v>44</v>
      </c>
      <c r="BN24" s="3" t="s">
        <v>44</v>
      </c>
      <c r="BO24" s="3" t="s">
        <v>44</v>
      </c>
    </row>
    <row r="25" spans="1:67" x14ac:dyDescent="0.2">
      <c r="A25" t="s">
        <v>35</v>
      </c>
      <c r="B25" s="3">
        <f t="shared" si="9"/>
        <v>57</v>
      </c>
      <c r="C25" s="3">
        <f t="shared" si="10"/>
        <v>46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  <c r="BJ25" s="3" t="s">
        <v>7</v>
      </c>
      <c r="BK25" s="3" t="s">
        <v>7</v>
      </c>
      <c r="BL25" s="3" t="s">
        <v>7</v>
      </c>
      <c r="BM25" s="3" t="s">
        <v>7</v>
      </c>
      <c r="BN25" s="3" t="s">
        <v>7</v>
      </c>
      <c r="BO25" s="3" t="s">
        <v>7</v>
      </c>
    </row>
    <row r="26" spans="1:67" x14ac:dyDescent="0.2">
      <c r="A26" t="s">
        <v>15</v>
      </c>
      <c r="B26" s="3">
        <f t="shared" si="9"/>
        <v>57</v>
      </c>
      <c r="C26" s="3">
        <f t="shared" si="10"/>
        <v>45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  <c r="BJ26" s="3" t="s">
        <v>7</v>
      </c>
      <c r="BK26" s="3" t="s">
        <v>7</v>
      </c>
      <c r="BL26" s="3" t="s">
        <v>7</v>
      </c>
      <c r="BM26" s="3" t="s">
        <v>7</v>
      </c>
      <c r="BN26" s="3" t="s">
        <v>7</v>
      </c>
      <c r="BO26" s="3" t="s">
        <v>7</v>
      </c>
    </row>
    <row r="27" spans="1:67" x14ac:dyDescent="0.2">
      <c r="A27" t="s">
        <v>38</v>
      </c>
      <c r="B27" s="3">
        <f t="shared" ref="B27:B29" si="11">COUNTA(K27:VR27)</f>
        <v>54</v>
      </c>
      <c r="C27" s="3">
        <f t="shared" ref="C27:C29" si="12">COUNTIF(K27:VR27,"P")</f>
        <v>48</v>
      </c>
      <c r="D27" s="5">
        <f t="shared" ref="D27:D29" si="13">COUNTIF(K27:VR27,"REP")</f>
        <v>1</v>
      </c>
      <c r="E27" s="3">
        <f t="shared" ref="E27:E29" si="14">COUNTIF(K27:VS27,"A")</f>
        <v>1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  <c r="BJ27" s="3" t="s">
        <v>7</v>
      </c>
      <c r="BK27" s="3" t="s">
        <v>7</v>
      </c>
      <c r="BL27" s="3" t="s">
        <v>7</v>
      </c>
      <c r="BM27" s="3" t="s">
        <v>7</v>
      </c>
      <c r="BN27" s="3" t="s">
        <v>7</v>
      </c>
      <c r="BO27" s="3" t="s">
        <v>7</v>
      </c>
    </row>
    <row r="28" spans="1:67" x14ac:dyDescent="0.2">
      <c r="A28" t="s">
        <v>39</v>
      </c>
      <c r="B28" s="3">
        <f t="shared" si="11"/>
        <v>53</v>
      </c>
      <c r="C28" s="3">
        <f t="shared" si="12"/>
        <v>51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  <c r="BJ28" s="3" t="s">
        <v>7</v>
      </c>
      <c r="BK28" s="3" t="s">
        <v>7</v>
      </c>
      <c r="BL28" s="3" t="s">
        <v>7</v>
      </c>
      <c r="BM28" s="3" t="s">
        <v>7</v>
      </c>
      <c r="BN28" s="3" t="s">
        <v>7</v>
      </c>
      <c r="BO28" s="3" t="s">
        <v>7</v>
      </c>
    </row>
    <row r="29" spans="1:67" x14ac:dyDescent="0.2">
      <c r="A29" t="s">
        <v>48</v>
      </c>
      <c r="B29" s="3">
        <f t="shared" si="11"/>
        <v>35</v>
      </c>
      <c r="C29" s="3">
        <f t="shared" si="12"/>
        <v>28</v>
      </c>
      <c r="D29" s="5">
        <f t="shared" si="13"/>
        <v>0</v>
      </c>
      <c r="E29" s="3">
        <f t="shared" si="14"/>
        <v>1</v>
      </c>
      <c r="F29" s="3">
        <f t="shared" si="15"/>
        <v>6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  <c r="BJ29" s="3" t="s">
        <v>7</v>
      </c>
      <c r="BK29" s="3" t="s">
        <v>7</v>
      </c>
      <c r="BL29" s="3" t="s">
        <v>7</v>
      </c>
      <c r="BM29" s="3" t="s">
        <v>7</v>
      </c>
      <c r="BN29" s="3" t="s">
        <v>44</v>
      </c>
      <c r="BO29" s="3" t="s">
        <v>44</v>
      </c>
    </row>
    <row r="30" spans="1:67" x14ac:dyDescent="0.2">
      <c r="A30" t="s">
        <v>49</v>
      </c>
      <c r="B30" s="3">
        <f t="shared" ref="B30" si="20">COUNTA(K30:VR30)</f>
        <v>35</v>
      </c>
      <c r="C30" s="3">
        <f t="shared" ref="C30" si="21">COUNTIF(K30:VR30,"P")</f>
        <v>11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18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  <c r="BJ30" s="3" t="s">
        <v>44</v>
      </c>
      <c r="BK30" s="3" t="s">
        <v>44</v>
      </c>
      <c r="BL30" s="3" t="s">
        <v>44</v>
      </c>
      <c r="BM30" s="3" t="s">
        <v>44</v>
      </c>
      <c r="BN30" s="3" t="s">
        <v>44</v>
      </c>
      <c r="BO30" s="3" t="s">
        <v>44</v>
      </c>
    </row>
    <row r="31" spans="1:67" x14ac:dyDescent="0.2">
      <c r="A31" t="s">
        <v>52</v>
      </c>
      <c r="B31" s="3">
        <f t="shared" ref="B31" si="29">COUNTA(K31:VR31)</f>
        <v>35</v>
      </c>
      <c r="C31" s="3">
        <f t="shared" ref="C31" si="30">COUNTIF(K31:VR31,"P")</f>
        <v>30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  <c r="BJ31" s="3" t="s">
        <v>7</v>
      </c>
      <c r="BK31" s="3" t="s">
        <v>7</v>
      </c>
      <c r="BL31" s="3" t="s">
        <v>7</v>
      </c>
      <c r="BM31" s="3" t="s">
        <v>7</v>
      </c>
      <c r="BN31" s="3" t="s">
        <v>7</v>
      </c>
      <c r="BO31" s="3" t="s">
        <v>7</v>
      </c>
    </row>
    <row r="32" spans="1:67" x14ac:dyDescent="0.2">
      <c r="A32" t="s">
        <v>53</v>
      </c>
      <c r="B32" s="3">
        <f t="shared" ref="B32" si="38">COUNTA(K32:VR32)</f>
        <v>8</v>
      </c>
      <c r="C32" s="3">
        <f t="shared" ref="C32" si="39">COUNTIF(K32:VR32,"P")</f>
        <v>8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  <c r="BH32" s="3" t="s">
        <v>7</v>
      </c>
      <c r="BI32" s="3" t="s">
        <v>7</v>
      </c>
      <c r="BJ32" s="3" t="s">
        <v>7</v>
      </c>
      <c r="BK32" s="3" t="s">
        <v>7</v>
      </c>
      <c r="BL32" s="3" t="s">
        <v>7</v>
      </c>
      <c r="BM32" s="3" t="s">
        <v>7</v>
      </c>
      <c r="BN32" s="3" t="s">
        <v>7</v>
      </c>
      <c r="BO32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2026-10-08T12:28:21Z</dcterms:modified>
</cp:coreProperties>
</file>