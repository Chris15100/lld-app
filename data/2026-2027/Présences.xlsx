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002A0785-B4C1-0E49-BDF7-DE32AAE1FB2A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<sst xmlns="http://schemas.openxmlformats.org/spreadsheetml/2006/main" count="1878" uniqueCount="54">
  <si>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</si>
  <si>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</si>
  <si>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</si>
  <si>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</si>
  <si>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</si>
  <si>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</si>
  <si>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</si>
  <si>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</si>
  <si>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</si>
  <si>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</si>
  <si>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</si>
  <si>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</si>
  <si>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</si>
  <si>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</si>
  <si>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</si>
  <si>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</si>
  <si>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</si>
  <si>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</si>
  <si>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</si>
  <si>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</si>
  <si>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</si>
  <si>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</si>
  <si>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</si>
  <si>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</si>
  <si>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</si>
  <si>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</si>
  <si>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</si>
  <si>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</si>
  <si>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</si>
  <si>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</si>
  <si>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</si>
  <si>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</si>
  <si>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</si>
  <si>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</si>
  <si>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</si>
  <si>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</si>
  <si>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</si>
  <si>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</si>
  <si>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</si>
  <si>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</si>
  <si>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</si>
  <si>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</si>
  <si>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</si>
  <si>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</si>
  <si>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</si>
  <si>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</si>
  <si>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</si>
  <si>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</si>
  <si>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</si>
  <si>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</si>
  <si>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</si>
  <si>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</si>
  <si>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</si>
  <si>
    <t>Glenn Manga-Tabi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</si>
</sst>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BU32"/>
  <sheetViews>
    <sheetView tabSelected="1" workbookViewId="0">
      <pane xSplit="1" topLeftCell="BT1" activePane="topRight" state="frozen"/>
      <selection pane="topRight" activeCell="CB11" sqref="CB11"/>
    </sheetView>
  </sheetViews>
  <sheetFormatPr baseColWidth="10" defaultRowHeight="16" x14ac:dyDescent="0.2"/>
  <cols>
    <col min="1" max="1" width="17.1640625" customWidth="1"/>
  </cols>
  <sheetData>
    <row r="1" spans="1:73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  <c r="AU1" s="6">
        <v>46272</v>
      </c>
      <c r="AV1" s="6">
        <v>46273</v>
      </c>
      <c r="AW1" s="6">
        <v>46274</v>
      </c>
      <c r="AX1" s="6">
        <v>46275</v>
      </c>
      <c r="AY1" s="6">
        <v>46279</v>
      </c>
      <c r="AZ1" s="6">
        <v>46280</v>
      </c>
      <c r="BA1" s="6">
        <v>46281</v>
      </c>
      <c r="BB1" s="6">
        <v>46282</v>
      </c>
      <c r="BC1" s="6">
        <v>46283</v>
      </c>
      <c r="BD1" s="6">
        <v>46286</v>
      </c>
      <c r="BE1" s="6">
        <v>46287</v>
      </c>
      <c r="BF1" s="6">
        <v>46288</v>
      </c>
      <c r="BG1" s="6">
        <v>46290</v>
      </c>
      <c r="BH1" s="6">
        <v>46293</v>
      </c>
      <c r="BI1" s="6">
        <v>46294</v>
      </c>
      <c r="BJ1" s="6">
        <v>46295</v>
      </c>
      <c r="BK1" s="6">
        <v>46297</v>
      </c>
      <c r="BL1" s="4">
        <v>46300</v>
      </c>
      <c r="BM1" s="4">
        <v>46301</v>
      </c>
      <c r="BN1" s="4">
        <v>46302</v>
      </c>
      <c r="BO1" s="4">
        <v>46303</v>
      </c>
      <c r="BP1" s="4">
        <v>46304</v>
      </c>
      <c r="BQ1" s="4">
        <v>46308</v>
      </c>
      <c r="BR1" s="4">
        <v>46309</v>
      </c>
      <c r="BS1" s="4">
        <v>46310</v>
      </c>
      <c r="BT1" s="4">
        <v>46311</v>
      </c>
      <c r="BU1" s="4">
        <v>46314</v>
      </c>
    </row>
    <row r="2" spans="1:73" x14ac:dyDescent="0.2">
      <c r="A2" t="s">
        <v>9</v>
      </c>
      <c r="B2" s="3">
        <f>COUNTA(K2:VR2)</f>
        <v>63</v>
      </c>
      <c r="C2" s="3">
        <f>COUNTIF(K2:VR2,"P")</f>
        <v>39</v>
      </c>
      <c r="D2" s="5">
        <f>COUNTIF(K2:VR2,"REP")</f>
        <v>0</v>
      </c>
      <c r="E2" s="3">
        <f t="shared" ref="E2:E26" si="0">COUNTIF(K2:VS2,"A")</f>
        <v>11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7</v>
      </c>
      <c r="AQ2" s="3" t="s">
        <v>7</v>
      </c>
      <c r="AR2" s="3" t="s">
        <v>7</v>
      </c>
      <c r="AS2" s="3" t="s">
        <v>7</v>
      </c>
      <c r="AT2" s="3" t="s">
        <v>7</v>
      </c>
      <c r="AU2" s="3" t="s">
        <v>7</v>
      </c>
      <c r="AV2" s="3" t="s">
        <v>7</v>
      </c>
      <c r="AW2" s="3" t="s">
        <v>7</v>
      </c>
      <c r="AX2" s="3" t="s">
        <v>7</v>
      </c>
      <c r="AY2" s="3" t="s">
        <v>7</v>
      </c>
      <c r="AZ2" s="3" t="s">
        <v>7</v>
      </c>
      <c r="BA2" s="3" t="s">
        <v>7</v>
      </c>
      <c r="BB2" s="3" t="s">
        <v>7</v>
      </c>
      <c r="BC2" s="3" t="s">
        <v>7</v>
      </c>
      <c r="BD2" s="3" t="s">
        <v>7</v>
      </c>
      <c r="BE2" s="3" t="s">
        <v>7</v>
      </c>
      <c r="BF2" s="3" t="s">
        <v>7</v>
      </c>
      <c r="BG2" s="3" t="s">
        <v>7</v>
      </c>
      <c r="BH2" s="3" t="s">
        <v>7</v>
      </c>
      <c r="BI2" s="3" t="s">
        <v>7</v>
      </c>
      <c r="BJ2" s="3" t="s">
        <v>7</v>
      </c>
      <c r="BK2" s="3" t="s">
        <v>7</v>
      </c>
      <c r="BL2" s="3" t="s">
        <v>7</v>
      </c>
      <c r="BM2" s="3" t="s">
        <v>7</v>
      </c>
      <c r="BN2" s="3" t="s">
        <v>7</v>
      </c>
      <c r="BO2" s="3" t="s">
        <v>7</v>
      </c>
      <c r="BP2" s="3" t="s">
        <v>7</v>
      </c>
      <c r="BQ2" s="3" t="s">
        <v>7</v>
      </c>
      <c r="BR2" s="3" t="s">
        <v>7</v>
      </c>
      <c r="BS2" s="3" t="s">
        <v>7</v>
      </c>
      <c r="BT2" s="3" t="s">
        <v>7</v>
      </c>
      <c r="BU2" s="3" t="s">
        <v>7</v>
      </c>
    </row>
    <row r="3" spans="1:73" x14ac:dyDescent="0.2">
      <c r="A3" t="s">
        <v>10</v>
      </c>
      <c r="B3" s="3">
        <f t="shared" ref="B3:B21" si="2">COUNTA(K3:VR3)</f>
        <v>63</v>
      </c>
      <c r="C3" s="3">
        <f t="shared" ref="C3:C21" si="3">COUNTIF(K3:VR3,"P")</f>
        <v>48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  <c r="AU3" s="3" t="s">
        <v>7</v>
      </c>
      <c r="AV3" s="3" t="s">
        <v>7</v>
      </c>
      <c r="AW3" s="3" t="s">
        <v>7</v>
      </c>
      <c r="AX3" s="3" t="s">
        <v>7</v>
      </c>
      <c r="AY3" s="3" t="s">
        <v>7</v>
      </c>
      <c r="AZ3" s="3" t="s">
        <v>7</v>
      </c>
      <c r="BA3" s="3" t="s">
        <v>7</v>
      </c>
      <c r="BB3" s="3" t="s">
        <v>7</v>
      </c>
      <c r="BC3" s="3" t="s">
        <v>7</v>
      </c>
      <c r="BD3" s="3" t="s">
        <v>7</v>
      </c>
      <c r="BE3" s="3" t="s">
        <v>7</v>
      </c>
      <c r="BF3" s="3" t="s">
        <v>7</v>
      </c>
      <c r="BG3" s="3" t="s">
        <v>7</v>
      </c>
      <c r="BH3" s="3" t="s">
        <v>7</v>
      </c>
      <c r="BI3" s="3" t="s">
        <v>7</v>
      </c>
      <c r="BJ3" s="3" t="s">
        <v>7</v>
      </c>
      <c r="BK3" s="3" t="s">
        <v>7</v>
      </c>
      <c r="BL3" s="3" t="s">
        <v>7</v>
      </c>
      <c r="BM3" s="3" t="s">
        <v>7</v>
      </c>
      <c r="BN3" s="3" t="s">
        <v>7</v>
      </c>
      <c r="BO3" s="3" t="s">
        <v>7</v>
      </c>
      <c r="BP3" s="3" t="s">
        <v>7</v>
      </c>
      <c r="BQ3" s="3" t="s">
        <v>7</v>
      </c>
      <c r="BR3" s="3" t="s">
        <v>7</v>
      </c>
      <c r="BS3" s="3" t="s">
        <v>7</v>
      </c>
      <c r="BT3" s="3" t="s">
        <v>7</v>
      </c>
      <c r="BU3" s="3" t="s">
        <v>7</v>
      </c>
    </row>
    <row r="4" spans="1:73" x14ac:dyDescent="0.2">
      <c r="A4" t="s">
        <v>24</v>
      </c>
      <c r="B4" s="3">
        <f t="shared" si="2"/>
        <v>63</v>
      </c>
      <c r="C4" s="3">
        <f t="shared" si="3"/>
        <v>61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2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  <c r="AU4" s="3" t="s">
        <v>7</v>
      </c>
      <c r="AV4" s="3" t="s">
        <v>7</v>
      </c>
      <c r="AW4" s="3" t="s">
        <v>7</v>
      </c>
      <c r="AX4" s="3" t="s">
        <v>7</v>
      </c>
      <c r="AY4" s="3" t="s">
        <v>7</v>
      </c>
      <c r="AZ4" s="3" t="s">
        <v>7</v>
      </c>
      <c r="BA4" s="3" t="s">
        <v>7</v>
      </c>
      <c r="BB4" s="3" t="s">
        <v>7</v>
      </c>
      <c r="BC4" s="3" t="s">
        <v>7</v>
      </c>
      <c r="BD4" s="3" t="s">
        <v>7</v>
      </c>
      <c r="BE4" s="3" t="s">
        <v>7</v>
      </c>
      <c r="BF4" s="3" t="s">
        <v>7</v>
      </c>
      <c r="BG4" s="3" t="s">
        <v>7</v>
      </c>
      <c r="BH4" s="3" t="s">
        <v>50</v>
      </c>
      <c r="BI4" s="3" t="s">
        <v>50</v>
      </c>
      <c r="BJ4" s="3" t="s">
        <v>7</v>
      </c>
      <c r="BK4" s="3" t="s">
        <v>7</v>
      </c>
      <c r="BL4" s="3" t="s">
        <v>7</v>
      </c>
      <c r="BM4" s="3" t="s">
        <v>7</v>
      </c>
      <c r="BN4" s="3" t="s">
        <v>7</v>
      </c>
      <c r="BO4" s="3" t="s">
        <v>7</v>
      </c>
      <c r="BP4" s="3" t="s">
        <v>7</v>
      </c>
      <c r="BQ4" s="3" t="s">
        <v>7</v>
      </c>
      <c r="BR4" s="3" t="s">
        <v>7</v>
      </c>
      <c r="BS4" s="3" t="s">
        <v>7</v>
      </c>
      <c r="BT4" s="3" t="s">
        <v>7</v>
      </c>
      <c r="BU4" s="3" t="s">
        <v>7</v>
      </c>
    </row>
    <row r="5" spans="1:73" x14ac:dyDescent="0.2">
      <c r="A5" t="s">
        <v>11</v>
      </c>
      <c r="B5" s="3">
        <f t="shared" si="2"/>
        <v>63</v>
      </c>
      <c r="C5" s="3">
        <f t="shared" si="3"/>
        <v>55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4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  <c r="AU5" s="3" t="s">
        <v>7</v>
      </c>
      <c r="AV5" s="3" t="s">
        <v>7</v>
      </c>
      <c r="AW5" s="3" t="s">
        <v>7</v>
      </c>
      <c r="AX5" s="3" t="s">
        <v>7</v>
      </c>
      <c r="AY5" s="3" t="s">
        <v>7</v>
      </c>
      <c r="AZ5" s="3" t="s">
        <v>7</v>
      </c>
      <c r="BA5" s="3" t="s">
        <v>7</v>
      </c>
      <c r="BB5" s="3" t="s">
        <v>7</v>
      </c>
      <c r="BC5" s="3" t="s">
        <v>7</v>
      </c>
      <c r="BD5" s="3" t="s">
        <v>7</v>
      </c>
      <c r="BE5" s="3" t="s">
        <v>7</v>
      </c>
      <c r="BF5" s="3" t="s">
        <v>7</v>
      </c>
      <c r="BG5" s="3" t="s">
        <v>7</v>
      </c>
      <c r="BH5" s="3" t="s">
        <v>7</v>
      </c>
      <c r="BI5" s="3" t="s">
        <v>7</v>
      </c>
      <c r="BJ5" s="3" t="s">
        <v>7</v>
      </c>
      <c r="BK5" s="3" t="s">
        <v>7</v>
      </c>
      <c r="BL5" s="3" t="s">
        <v>7</v>
      </c>
      <c r="BM5" s="3" t="s">
        <v>7</v>
      </c>
      <c r="BN5" s="3" t="s">
        <v>7</v>
      </c>
      <c r="BO5" s="3" t="s">
        <v>7</v>
      </c>
      <c r="BP5" s="3" t="s">
        <v>7</v>
      </c>
      <c r="BQ5" s="3" t="s">
        <v>50</v>
      </c>
      <c r="BR5" s="3" t="s">
        <v>50</v>
      </c>
      <c r="BS5" s="3" t="s">
        <v>50</v>
      </c>
      <c r="BT5" s="3" t="s">
        <v>50</v>
      </c>
      <c r="BU5" s="3" t="s">
        <v>7</v>
      </c>
    </row>
    <row r="6" spans="1:73" x14ac:dyDescent="0.2">
      <c r="A6" t="s">
        <v>25</v>
      </c>
      <c r="B6" s="3">
        <f t="shared" si="2"/>
        <v>63</v>
      </c>
      <c r="C6" s="3">
        <f t="shared" si="3"/>
        <v>63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  <c r="AU6" s="3" t="s">
        <v>7</v>
      </c>
      <c r="AV6" s="3" t="s">
        <v>7</v>
      </c>
      <c r="AW6" s="3" t="s">
        <v>7</v>
      </c>
      <c r="AX6" s="3" t="s">
        <v>7</v>
      </c>
      <c r="AY6" s="3" t="s">
        <v>7</v>
      </c>
      <c r="AZ6" s="3" t="s">
        <v>7</v>
      </c>
      <c r="BA6" s="3" t="s">
        <v>7</v>
      </c>
      <c r="BB6" s="3" t="s">
        <v>7</v>
      </c>
      <c r="BC6" s="3" t="s">
        <v>7</v>
      </c>
      <c r="BD6" s="3" t="s">
        <v>7</v>
      </c>
      <c r="BE6" s="3" t="s">
        <v>7</v>
      </c>
      <c r="BF6" s="3" t="s">
        <v>7</v>
      </c>
      <c r="BG6" s="3" t="s">
        <v>7</v>
      </c>
      <c r="BH6" s="3" t="s">
        <v>7</v>
      </c>
      <c r="BI6" s="3" t="s">
        <v>7</v>
      </c>
      <c r="BJ6" s="3" t="s">
        <v>7</v>
      </c>
      <c r="BK6" s="3" t="s">
        <v>7</v>
      </c>
      <c r="BL6" s="3" t="s">
        <v>7</v>
      </c>
      <c r="BM6" s="3" t="s">
        <v>7</v>
      </c>
      <c r="BN6" s="3" t="s">
        <v>7</v>
      </c>
      <c r="BO6" s="3" t="s">
        <v>7</v>
      </c>
      <c r="BP6" s="3" t="s">
        <v>7</v>
      </c>
      <c r="BQ6" s="3" t="s">
        <v>7</v>
      </c>
      <c r="BR6" s="3" t="s">
        <v>7</v>
      </c>
      <c r="BS6" s="3" t="s">
        <v>7</v>
      </c>
      <c r="BT6" s="3" t="s">
        <v>7</v>
      </c>
      <c r="BU6" s="3" t="s">
        <v>7</v>
      </c>
    </row>
    <row r="7" spans="1:73" x14ac:dyDescent="0.2">
      <c r="A7" t="s">
        <v>26</v>
      </c>
      <c r="B7" s="3">
        <f t="shared" si="2"/>
        <v>63</v>
      </c>
      <c r="C7" s="3">
        <f t="shared" si="3"/>
        <v>45</v>
      </c>
      <c r="D7" s="5">
        <f t="shared" si="4"/>
        <v>0</v>
      </c>
      <c r="E7" s="3">
        <f>COUNTIF(K7:VS7,"A")</f>
        <v>0</v>
      </c>
      <c r="F7" s="3">
        <f t="shared" si="1"/>
        <v>9</v>
      </c>
      <c r="G7" s="3">
        <f t="shared" si="5"/>
        <v>2</v>
      </c>
      <c r="H7" s="3">
        <f t="shared" si="6"/>
        <v>7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  <c r="AU7" s="3" t="s">
        <v>7</v>
      </c>
      <c r="AV7" s="3" t="s">
        <v>7</v>
      </c>
      <c r="AW7" s="3" t="s">
        <v>51</v>
      </c>
      <c r="AX7" s="3" t="s">
        <v>51</v>
      </c>
      <c r="AY7" s="3" t="s">
        <v>7</v>
      </c>
      <c r="AZ7" s="3" t="s">
        <v>7</v>
      </c>
      <c r="BA7" s="3" t="s">
        <v>7</v>
      </c>
      <c r="BB7" s="3" t="s">
        <v>7</v>
      </c>
      <c r="BC7" s="3" t="s">
        <v>7</v>
      </c>
      <c r="BD7" s="3" t="s">
        <v>7</v>
      </c>
      <c r="BE7" s="3" t="s">
        <v>7</v>
      </c>
      <c r="BF7" s="3" t="s">
        <v>7</v>
      </c>
      <c r="BG7" s="3" t="s">
        <v>7</v>
      </c>
      <c r="BH7" s="3" t="s">
        <v>7</v>
      </c>
      <c r="BI7" s="3" t="s">
        <v>7</v>
      </c>
      <c r="BJ7" s="3" t="s">
        <v>7</v>
      </c>
      <c r="BK7" s="3" t="s">
        <v>51</v>
      </c>
      <c r="BL7" s="3" t="s">
        <v>7</v>
      </c>
      <c r="BM7" s="3" t="s">
        <v>7</v>
      </c>
      <c r="BN7" s="3" t="s">
        <v>7</v>
      </c>
      <c r="BO7" s="3" t="s">
        <v>7</v>
      </c>
      <c r="BP7" s="3" t="s">
        <v>44</v>
      </c>
      <c r="BQ7" s="3" t="s">
        <v>7</v>
      </c>
      <c r="BR7" s="3" t="s">
        <v>7</v>
      </c>
      <c r="BS7" s="3" t="s">
        <v>50</v>
      </c>
      <c r="BT7" s="3" t="s">
        <v>50</v>
      </c>
      <c r="BU7" s="3" t="s">
        <v>7</v>
      </c>
    </row>
    <row r="8" spans="1:73" x14ac:dyDescent="0.2">
      <c r="A8" t="s">
        <v>27</v>
      </c>
      <c r="B8" s="3">
        <f t="shared" si="2"/>
        <v>63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40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  <c r="AU8" s="3" t="s">
        <v>44</v>
      </c>
      <c r="AV8" s="3" t="s">
        <v>44</v>
      </c>
      <c r="AW8" s="3" t="s">
        <v>44</v>
      </c>
      <c r="AX8" s="3" t="s">
        <v>44</v>
      </c>
      <c r="AY8" s="3" t="s">
        <v>44</v>
      </c>
      <c r="AZ8" s="3" t="s">
        <v>44</v>
      </c>
      <c r="BA8" s="3" t="s">
        <v>44</v>
      </c>
      <c r="BB8" s="3" t="s">
        <v>44</v>
      </c>
      <c r="BC8" s="3" t="s">
        <v>44</v>
      </c>
      <c r="BD8" s="3" t="s">
        <v>44</v>
      </c>
      <c r="BE8" s="3" t="s">
        <v>44</v>
      </c>
      <c r="BF8" s="3" t="s">
        <v>44</v>
      </c>
      <c r="BG8" s="3" t="s">
        <v>44</v>
      </c>
      <c r="BH8" s="3" t="s">
        <v>44</v>
      </c>
      <c r="BI8" s="3" t="s">
        <v>44</v>
      </c>
      <c r="BJ8" s="3" t="s">
        <v>44</v>
      </c>
      <c r="BK8" s="3" t="s">
        <v>44</v>
      </c>
      <c r="BL8" s="3" t="s">
        <v>44</v>
      </c>
      <c r="BM8" s="3" t="s">
        <v>44</v>
      </c>
      <c r="BN8" s="3" t="s">
        <v>44</v>
      </c>
      <c r="BO8" s="3" t="s">
        <v>44</v>
      </c>
      <c r="BP8" s="3" t="s">
        <v>44</v>
      </c>
      <c r="BQ8" s="3" t="s">
        <v>44</v>
      </c>
      <c r="BR8" s="3" t="s">
        <v>44</v>
      </c>
      <c r="BS8" s="3" t="s">
        <v>44</v>
      </c>
      <c r="BT8" s="3" t="s">
        <v>44</v>
      </c>
      <c r="BU8" s="3" t="s">
        <v>44</v>
      </c>
    </row>
    <row r="9" spans="1:73" x14ac:dyDescent="0.2">
      <c r="A9" t="s">
        <v>17</v>
      </c>
      <c r="B9" s="3">
        <f t="shared" si="2"/>
        <v>63</v>
      </c>
      <c r="C9" s="3">
        <f t="shared" si="3"/>
        <v>55</v>
      </c>
      <c r="D9" s="5">
        <f t="shared" si="4"/>
        <v>1</v>
      </c>
      <c r="E9" s="3">
        <f t="shared" si="0"/>
        <v>0</v>
      </c>
      <c r="F9" s="3">
        <f t="shared" si="1"/>
        <v>4</v>
      </c>
      <c r="G9" s="3">
        <f t="shared" si="5"/>
        <v>1</v>
      </c>
      <c r="H9" s="3">
        <f t="shared" si="6"/>
        <v>0</v>
      </c>
      <c r="I9" s="3">
        <f t="shared" si="7"/>
        <v>2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  <c r="AU9" s="3" t="s">
        <v>7</v>
      </c>
      <c r="AV9" s="3" t="s">
        <v>7</v>
      </c>
      <c r="AW9" s="3" t="s">
        <v>7</v>
      </c>
      <c r="AX9" s="3" t="s">
        <v>7</v>
      </c>
      <c r="AY9" s="3" t="s">
        <v>7</v>
      </c>
      <c r="AZ9" s="3" t="s">
        <v>7</v>
      </c>
      <c r="BA9" s="3" t="s">
        <v>7</v>
      </c>
      <c r="BB9" s="3" t="s">
        <v>7</v>
      </c>
      <c r="BC9" s="3" t="s">
        <v>7</v>
      </c>
      <c r="BD9" s="3" t="s">
        <v>7</v>
      </c>
      <c r="BE9" s="3" t="s">
        <v>44</v>
      </c>
      <c r="BF9" s="3" t="s">
        <v>44</v>
      </c>
      <c r="BG9" s="3" t="s">
        <v>20</v>
      </c>
      <c r="BH9" s="3" t="s">
        <v>7</v>
      </c>
      <c r="BI9" s="3" t="s">
        <v>7</v>
      </c>
      <c r="BJ9" s="3" t="s">
        <v>7</v>
      </c>
      <c r="BK9" s="3" t="s">
        <v>7</v>
      </c>
      <c r="BL9" s="3" t="s">
        <v>7</v>
      </c>
      <c r="BM9" s="3" t="s">
        <v>7</v>
      </c>
      <c r="BN9" s="3" t="s">
        <v>7</v>
      </c>
      <c r="BO9" s="3" t="s">
        <v>7</v>
      </c>
      <c r="BP9" s="3" t="s">
        <v>7</v>
      </c>
      <c r="BQ9" s="3" t="s">
        <v>7</v>
      </c>
      <c r="BR9" s="3" t="s">
        <v>50</v>
      </c>
      <c r="BS9" s="3" t="s">
        <v>7</v>
      </c>
      <c r="BT9" s="3" t="s">
        <v>7</v>
      </c>
      <c r="BU9" s="3" t="s">
        <v>7</v>
      </c>
    </row>
    <row r="10" spans="1:73" x14ac:dyDescent="0.2">
      <c r="A10" t="s">
        <v>28</v>
      </c>
      <c r="B10" s="3">
        <f t="shared" si="2"/>
        <v>63</v>
      </c>
      <c r="C10" s="3">
        <f t="shared" si="3"/>
        <v>53</v>
      </c>
      <c r="D10" s="5">
        <f t="shared" si="4"/>
        <v>0</v>
      </c>
      <c r="E10" s="3">
        <f t="shared" si="0"/>
        <v>3</v>
      </c>
      <c r="F10" s="3">
        <f t="shared" si="1"/>
        <v>4</v>
      </c>
      <c r="G10" s="3">
        <f t="shared" si="5"/>
        <v>3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7</v>
      </c>
      <c r="AU10" s="3" t="s">
        <v>7</v>
      </c>
      <c r="AV10" s="3" t="s">
        <v>7</v>
      </c>
      <c r="AW10" s="3" t="s">
        <v>7</v>
      </c>
      <c r="AX10" s="3" t="s">
        <v>7</v>
      </c>
      <c r="AY10" s="3" t="s">
        <v>7</v>
      </c>
      <c r="AZ10" s="3" t="s">
        <v>7</v>
      </c>
      <c r="BA10" s="3" t="s">
        <v>7</v>
      </c>
      <c r="BB10" s="3" t="s">
        <v>7</v>
      </c>
      <c r="BC10" s="3" t="s">
        <v>7</v>
      </c>
      <c r="BD10" s="3" t="s">
        <v>7</v>
      </c>
      <c r="BE10" s="3" t="s">
        <v>7</v>
      </c>
      <c r="BF10" s="3" t="s">
        <v>7</v>
      </c>
      <c r="BG10" s="3" t="s">
        <v>7</v>
      </c>
      <c r="BH10" s="3" t="s">
        <v>7</v>
      </c>
      <c r="BI10" s="3" t="s">
        <v>50</v>
      </c>
      <c r="BJ10" s="3" t="s">
        <v>50</v>
      </c>
      <c r="BK10" s="3" t="s">
        <v>7</v>
      </c>
      <c r="BL10" s="3" t="s">
        <v>7</v>
      </c>
      <c r="BM10" s="3" t="s">
        <v>50</v>
      </c>
      <c r="BN10" s="3" t="s">
        <v>7</v>
      </c>
      <c r="BO10" s="3" t="s">
        <v>18</v>
      </c>
      <c r="BP10" s="3" t="s">
        <v>7</v>
      </c>
      <c r="BQ10" s="3" t="s">
        <v>7</v>
      </c>
      <c r="BR10" s="3" t="s">
        <v>7</v>
      </c>
      <c r="BS10" s="3" t="s">
        <v>7</v>
      </c>
      <c r="BT10" s="3" t="s">
        <v>7</v>
      </c>
      <c r="BU10" s="3" t="s">
        <v>18</v>
      </c>
    </row>
    <row r="11" spans="1:73" x14ac:dyDescent="0.2">
      <c r="A11" t="s">
        <v>12</v>
      </c>
      <c r="B11" s="3">
        <f t="shared" si="2"/>
        <v>63</v>
      </c>
      <c r="C11" s="3">
        <f t="shared" si="3"/>
        <v>63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  <c r="AU11" s="3" t="s">
        <v>7</v>
      </c>
      <c r="AV11" s="3" t="s">
        <v>7</v>
      </c>
      <c r="AW11" s="3" t="s">
        <v>7</v>
      </c>
      <c r="AX11" s="3" t="s">
        <v>7</v>
      </c>
      <c r="AY11" s="3" t="s">
        <v>7</v>
      </c>
      <c r="AZ11" s="3" t="s">
        <v>7</v>
      </c>
      <c r="BA11" s="3" t="s">
        <v>7</v>
      </c>
      <c r="BB11" s="3" t="s">
        <v>7</v>
      </c>
      <c r="BC11" s="3" t="s">
        <v>7</v>
      </c>
      <c r="BD11" s="3" t="s">
        <v>7</v>
      </c>
      <c r="BE11" s="3" t="s">
        <v>7</v>
      </c>
      <c r="BF11" s="3" t="s">
        <v>7</v>
      </c>
      <c r="BG11" s="3" t="s">
        <v>7</v>
      </c>
      <c r="BH11" s="3" t="s">
        <v>7</v>
      </c>
      <c r="BI11" s="3" t="s">
        <v>7</v>
      </c>
      <c r="BJ11" s="3" t="s">
        <v>7</v>
      </c>
      <c r="BK11" s="3" t="s">
        <v>7</v>
      </c>
      <c r="BL11" s="3" t="s">
        <v>7</v>
      </c>
      <c r="BM11" s="3" t="s">
        <v>7</v>
      </c>
      <c r="BN11" s="3" t="s">
        <v>7</v>
      </c>
      <c r="BO11" s="3" t="s">
        <v>7</v>
      </c>
      <c r="BP11" s="3" t="s">
        <v>7</v>
      </c>
      <c r="BQ11" s="3" t="s">
        <v>7</v>
      </c>
      <c r="BR11" s="3" t="s">
        <v>7</v>
      </c>
      <c r="BS11" s="3" t="s">
        <v>7</v>
      </c>
      <c r="BT11" s="3" t="s">
        <v>7</v>
      </c>
      <c r="BU11" s="3" t="s">
        <v>7</v>
      </c>
    </row>
    <row r="12" spans="1:73" x14ac:dyDescent="0.2">
      <c r="A12" t="s">
        <v>13</v>
      </c>
      <c r="B12" s="3">
        <f t="shared" si="2"/>
        <v>63</v>
      </c>
      <c r="C12" s="3">
        <f t="shared" si="3"/>
        <v>54</v>
      </c>
      <c r="D12" s="5">
        <f t="shared" si="4"/>
        <v>0</v>
      </c>
      <c r="E12" s="3">
        <f t="shared" si="0"/>
        <v>0</v>
      </c>
      <c r="F12" s="3">
        <f t="shared" si="1"/>
        <v>6</v>
      </c>
      <c r="G12" s="3">
        <f t="shared" si="5"/>
        <v>1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  <c r="AU12" s="3" t="s">
        <v>7</v>
      </c>
      <c r="AV12" s="3" t="s">
        <v>7</v>
      </c>
      <c r="AW12" s="3" t="s">
        <v>7</v>
      </c>
      <c r="AX12" s="3" t="s">
        <v>7</v>
      </c>
      <c r="AY12" s="3" t="s">
        <v>7</v>
      </c>
      <c r="AZ12" s="3" t="s">
        <v>7</v>
      </c>
      <c r="BA12" s="3" t="s">
        <v>7</v>
      </c>
      <c r="BB12" s="3" t="s">
        <v>7</v>
      </c>
      <c r="BC12" s="3" t="s">
        <v>7</v>
      </c>
      <c r="BD12" s="3" t="s">
        <v>7</v>
      </c>
      <c r="BE12" s="3" t="s">
        <v>7</v>
      </c>
      <c r="BF12" s="3" t="s">
        <v>7</v>
      </c>
      <c r="BG12" s="3" t="s">
        <v>7</v>
      </c>
      <c r="BH12" s="3" t="s">
        <v>50</v>
      </c>
      <c r="BI12" s="3" t="s">
        <v>7</v>
      </c>
      <c r="BJ12" s="3" t="s">
        <v>7</v>
      </c>
      <c r="BK12" s="3" t="s">
        <v>7</v>
      </c>
      <c r="BL12" s="3" t="s">
        <v>44</v>
      </c>
      <c r="BM12" s="3" t="s">
        <v>44</v>
      </c>
      <c r="BN12" s="3" t="s">
        <v>7</v>
      </c>
      <c r="BO12" s="3" t="s">
        <v>7</v>
      </c>
      <c r="BP12" s="3" t="s">
        <v>7</v>
      </c>
      <c r="BQ12" s="3" t="s">
        <v>7</v>
      </c>
      <c r="BR12" s="3" t="s">
        <v>7</v>
      </c>
      <c r="BS12" s="3" t="s">
        <v>7</v>
      </c>
      <c r="BT12" s="3" t="s">
        <v>7</v>
      </c>
      <c r="BU12" s="3" t="s">
        <v>44</v>
      </c>
    </row>
    <row r="13" spans="1:73" x14ac:dyDescent="0.2">
      <c r="A13" t="s">
        <v>23</v>
      </c>
      <c r="B13" s="3">
        <f t="shared" si="2"/>
        <v>63</v>
      </c>
      <c r="C13" s="3">
        <f t="shared" si="3"/>
        <v>57</v>
      </c>
      <c r="D13" s="5">
        <f t="shared" si="4"/>
        <v>0</v>
      </c>
      <c r="E13" s="3">
        <f t="shared" si="0"/>
        <v>0</v>
      </c>
      <c r="F13" s="3">
        <f t="shared" si="1"/>
        <v>4</v>
      </c>
      <c r="G13" s="3">
        <f t="shared" si="5"/>
        <v>1</v>
      </c>
      <c r="H13" s="3">
        <f t="shared" si="6"/>
        <v>0</v>
      </c>
      <c r="I13" s="3">
        <f t="shared" si="7"/>
        <v>1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  <c r="AU13" s="3" t="s">
        <v>7</v>
      </c>
      <c r="AV13" s="3" t="s">
        <v>7</v>
      </c>
      <c r="AW13" s="3" t="s">
        <v>7</v>
      </c>
      <c r="AX13" s="3" t="s">
        <v>7</v>
      </c>
      <c r="AY13" s="3" t="s">
        <v>7</v>
      </c>
      <c r="AZ13" s="3" t="s">
        <v>7</v>
      </c>
      <c r="BA13" s="3" t="s">
        <v>7</v>
      </c>
      <c r="BB13" s="3" t="s">
        <v>7</v>
      </c>
      <c r="BC13" s="3" t="s">
        <v>7</v>
      </c>
      <c r="BD13" s="3" t="s">
        <v>7</v>
      </c>
      <c r="BE13" s="3" t="s">
        <v>50</v>
      </c>
      <c r="BF13" s="3" t="s">
        <v>7</v>
      </c>
      <c r="BG13" s="3" t="s">
        <v>7</v>
      </c>
      <c r="BH13" s="3" t="s">
        <v>7</v>
      </c>
      <c r="BI13" s="3" t="s">
        <v>7</v>
      </c>
      <c r="BJ13" s="3" t="s">
        <v>7</v>
      </c>
      <c r="BK13" s="3" t="s">
        <v>7</v>
      </c>
      <c r="BL13" s="3" t="s">
        <v>44</v>
      </c>
      <c r="BM13" s="3" t="s">
        <v>44</v>
      </c>
      <c r="BN13" s="3" t="s">
        <v>44</v>
      </c>
      <c r="BO13" s="3" t="s">
        <v>44</v>
      </c>
      <c r="BP13" s="3" t="s">
        <v>20</v>
      </c>
      <c r="BQ13" s="3" t="s">
        <v>7</v>
      </c>
      <c r="BR13" s="3" t="s">
        <v>7</v>
      </c>
      <c r="BS13" s="3" t="s">
        <v>7</v>
      </c>
      <c r="BT13" s="3" t="s">
        <v>7</v>
      </c>
      <c r="BU13" s="3" t="s">
        <v>7</v>
      </c>
    </row>
    <row r="14" spans="1:73" x14ac:dyDescent="0.2">
      <c r="A14" t="s">
        <v>14</v>
      </c>
      <c r="B14" s="3">
        <f t="shared" si="2"/>
        <v>63</v>
      </c>
      <c r="C14" s="3">
        <f t="shared" si="3"/>
        <v>58</v>
      </c>
      <c r="D14" s="5">
        <f t="shared" si="4"/>
        <v>0</v>
      </c>
      <c r="E14" s="3">
        <f t="shared" si="0"/>
        <v>0</v>
      </c>
      <c r="F14" s="3">
        <f t="shared" si="1"/>
        <v>5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  <c r="AU14" s="3" t="s">
        <v>7</v>
      </c>
      <c r="AV14" s="3" t="s">
        <v>7</v>
      </c>
      <c r="AW14" s="3" t="s">
        <v>7</v>
      </c>
      <c r="AX14" s="3" t="s">
        <v>7</v>
      </c>
      <c r="AY14" s="3" t="s">
        <v>7</v>
      </c>
      <c r="AZ14" s="3" t="s">
        <v>7</v>
      </c>
      <c r="BA14" s="3" t="s">
        <v>7</v>
      </c>
      <c r="BB14" s="3" t="s">
        <v>7</v>
      </c>
      <c r="BC14" s="3" t="s">
        <v>7</v>
      </c>
      <c r="BD14" s="3" t="s">
        <v>7</v>
      </c>
      <c r="BE14" s="3" t="s">
        <v>7</v>
      </c>
      <c r="BF14" s="3" t="s">
        <v>7</v>
      </c>
      <c r="BG14" s="3" t="s">
        <v>7</v>
      </c>
      <c r="BH14" s="3" t="s">
        <v>7</v>
      </c>
      <c r="BI14" s="3" t="s">
        <v>7</v>
      </c>
      <c r="BJ14" s="3" t="s">
        <v>7</v>
      </c>
      <c r="BK14" s="3" t="s">
        <v>7</v>
      </c>
      <c r="BL14" s="3" t="s">
        <v>44</v>
      </c>
      <c r="BM14" s="3" t="s">
        <v>44</v>
      </c>
      <c r="BN14" s="3" t="s">
        <v>7</v>
      </c>
      <c r="BO14" s="3" t="s">
        <v>7</v>
      </c>
      <c r="BP14" s="3" t="s">
        <v>7</v>
      </c>
      <c r="BQ14" s="3" t="s">
        <v>7</v>
      </c>
      <c r="BR14" s="3" t="s">
        <v>7</v>
      </c>
      <c r="BS14" s="3" t="s">
        <v>7</v>
      </c>
      <c r="BT14" s="3" t="s">
        <v>7</v>
      </c>
      <c r="BU14" s="3" t="s">
        <v>7</v>
      </c>
    </row>
    <row r="15" spans="1:73" x14ac:dyDescent="0.2">
      <c r="A15" t="s">
        <v>29</v>
      </c>
      <c r="B15" s="3">
        <f t="shared" si="2"/>
        <v>63</v>
      </c>
      <c r="C15" s="3">
        <f t="shared" si="3"/>
        <v>52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11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  <c r="AU15" s="3" t="s">
        <v>7</v>
      </c>
      <c r="AV15" s="3" t="s">
        <v>7</v>
      </c>
      <c r="AW15" s="3" t="s">
        <v>51</v>
      </c>
      <c r="AX15" s="3" t="s">
        <v>51</v>
      </c>
      <c r="AY15" s="3" t="s">
        <v>7</v>
      </c>
      <c r="AZ15" s="3" t="s">
        <v>7</v>
      </c>
      <c r="BA15" s="3" t="s">
        <v>51</v>
      </c>
      <c r="BB15" s="3" t="s">
        <v>51</v>
      </c>
      <c r="BC15" s="3" t="s">
        <v>51</v>
      </c>
      <c r="BD15" s="3" t="s">
        <v>7</v>
      </c>
      <c r="BE15" s="3" t="s">
        <v>7</v>
      </c>
      <c r="BF15" s="3" t="s">
        <v>7</v>
      </c>
      <c r="BG15" s="3" t="s">
        <v>7</v>
      </c>
      <c r="BH15" s="3" t="s">
        <v>7</v>
      </c>
      <c r="BI15" s="3" t="s">
        <v>7</v>
      </c>
      <c r="BJ15" s="3" t="s">
        <v>7</v>
      </c>
      <c r="BK15" s="3" t="s">
        <v>7</v>
      </c>
      <c r="BL15" s="3" t="s">
        <v>7</v>
      </c>
      <c r="BM15" s="3" t="s">
        <v>7</v>
      </c>
      <c r="BN15" s="3" t="s">
        <v>7</v>
      </c>
      <c r="BO15" s="3" t="s">
        <v>7</v>
      </c>
      <c r="BP15" s="3" t="s">
        <v>7</v>
      </c>
      <c r="BQ15" s="3" t="s">
        <v>7</v>
      </c>
      <c r="BR15" s="3" t="s">
        <v>7</v>
      </c>
      <c r="BS15" s="3" t="s">
        <v>7</v>
      </c>
      <c r="BT15" s="3" t="s">
        <v>51</v>
      </c>
      <c r="BU15" s="3" t="s">
        <v>7</v>
      </c>
    </row>
    <row r="16" spans="1:73" x14ac:dyDescent="0.2">
      <c r="A16" t="s">
        <v>30</v>
      </c>
      <c r="B16" s="3">
        <f t="shared" si="2"/>
        <v>63</v>
      </c>
      <c r="C16" s="3">
        <f t="shared" si="3"/>
        <v>43</v>
      </c>
      <c r="D16" s="5">
        <f t="shared" si="4"/>
        <v>0</v>
      </c>
      <c r="E16" s="3">
        <f t="shared" si="0"/>
        <v>5</v>
      </c>
      <c r="F16" s="3">
        <f t="shared" si="1"/>
        <v>2</v>
      </c>
      <c r="G16" s="3">
        <f t="shared" si="5"/>
        <v>0</v>
      </c>
      <c r="H16" s="3">
        <f t="shared" si="6"/>
        <v>12</v>
      </c>
      <c r="I16" s="3">
        <f t="shared" si="7"/>
        <v>1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  <c r="AU16" s="3" t="s">
        <v>7</v>
      </c>
      <c r="AV16" s="3" t="s">
        <v>7</v>
      </c>
      <c r="AW16" s="3" t="s">
        <v>51</v>
      </c>
      <c r="AX16" s="3" t="s">
        <v>51</v>
      </c>
      <c r="AY16" s="3" t="s">
        <v>7</v>
      </c>
      <c r="AZ16" s="3" t="s">
        <v>7</v>
      </c>
      <c r="BA16" s="3" t="s">
        <v>51</v>
      </c>
      <c r="BB16" s="3" t="s">
        <v>51</v>
      </c>
      <c r="BC16" s="3" t="s">
        <v>51</v>
      </c>
      <c r="BD16" s="3" t="s">
        <v>7</v>
      </c>
      <c r="BE16" s="3" t="s">
        <v>7</v>
      </c>
      <c r="BF16" s="3" t="s">
        <v>7</v>
      </c>
      <c r="BG16" s="3" t="s">
        <v>7</v>
      </c>
      <c r="BH16" s="3" t="s">
        <v>44</v>
      </c>
      <c r="BI16" s="3" t="s">
        <v>44</v>
      </c>
      <c r="BJ16" s="3" t="s">
        <v>20</v>
      </c>
      <c r="BK16" s="3" t="s">
        <v>51</v>
      </c>
      <c r="BL16" s="3" t="s">
        <v>7</v>
      </c>
      <c r="BM16" s="3" t="s">
        <v>7</v>
      </c>
      <c r="BN16" s="3" t="s">
        <v>7</v>
      </c>
      <c r="BO16" s="3" t="s">
        <v>7</v>
      </c>
      <c r="BP16" s="3" t="s">
        <v>7</v>
      </c>
      <c r="BQ16" s="3" t="s">
        <v>7</v>
      </c>
      <c r="BR16" s="3" t="s">
        <v>7</v>
      </c>
      <c r="BS16" s="3" t="s">
        <v>7</v>
      </c>
      <c r="BT16" s="3" t="s">
        <v>51</v>
      </c>
      <c r="BU16" s="3" t="s">
        <v>7</v>
      </c>
    </row>
    <row r="17" spans="1:73" x14ac:dyDescent="0.2">
      <c r="A17" t="s">
        <v>31</v>
      </c>
      <c r="B17" s="3">
        <f t="shared" si="2"/>
        <v>63</v>
      </c>
      <c r="C17" s="3">
        <f t="shared" si="3"/>
        <v>44</v>
      </c>
      <c r="D17" s="5">
        <f t="shared" si="4"/>
        <v>0</v>
      </c>
      <c r="E17" s="3">
        <f t="shared" si="0"/>
        <v>0</v>
      </c>
      <c r="F17" s="3">
        <f t="shared" si="1"/>
        <v>8</v>
      </c>
      <c r="G17" s="3">
        <f t="shared" si="5"/>
        <v>0</v>
      </c>
      <c r="H17" s="3">
        <f t="shared" si="6"/>
        <v>0</v>
      </c>
      <c r="I17" s="3">
        <f t="shared" si="7"/>
        <v>11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  <c r="AU17" s="3" t="s">
        <v>7</v>
      </c>
      <c r="AV17" s="3" t="s">
        <v>7</v>
      </c>
      <c r="AW17" s="3" t="s">
        <v>7</v>
      </c>
      <c r="AX17" s="3" t="s">
        <v>7</v>
      </c>
      <c r="AY17" s="3" t="s">
        <v>7</v>
      </c>
      <c r="AZ17" s="3" t="s">
        <v>7</v>
      </c>
      <c r="BA17" s="3" t="s">
        <v>7</v>
      </c>
      <c r="BB17" s="3" t="s">
        <v>7</v>
      </c>
      <c r="BC17" s="3" t="s">
        <v>44</v>
      </c>
      <c r="BD17" s="3" t="s">
        <v>44</v>
      </c>
      <c r="BE17" s="3" t="s">
        <v>44</v>
      </c>
      <c r="BF17" s="3" t="s">
        <v>44</v>
      </c>
      <c r="BG17" s="3" t="s">
        <v>44</v>
      </c>
      <c r="BH17" s="3" t="s">
        <v>44</v>
      </c>
      <c r="BI17" s="3" t="s">
        <v>44</v>
      </c>
      <c r="BJ17" s="3" t="s">
        <v>20</v>
      </c>
      <c r="BK17" s="3" t="s">
        <v>20</v>
      </c>
      <c r="BL17" s="3" t="s">
        <v>20</v>
      </c>
      <c r="BM17" s="3" t="s">
        <v>20</v>
      </c>
      <c r="BN17" s="3" t="s">
        <v>20</v>
      </c>
      <c r="BO17" s="3" t="s">
        <v>20</v>
      </c>
      <c r="BP17" s="3" t="s">
        <v>20</v>
      </c>
      <c r="BQ17" s="3" t="s">
        <v>20</v>
      </c>
      <c r="BR17" s="3" t="s">
        <v>20</v>
      </c>
      <c r="BS17" s="3" t="s">
        <v>20</v>
      </c>
      <c r="BT17" s="3" t="s">
        <v>20</v>
      </c>
      <c r="BU17" s="3" t="s">
        <v>44</v>
      </c>
    </row>
    <row r="18" spans="1:73" x14ac:dyDescent="0.2">
      <c r="A18" t="s">
        <v>21</v>
      </c>
      <c r="B18" s="3">
        <f t="shared" si="2"/>
        <v>63</v>
      </c>
      <c r="C18" s="3">
        <f t="shared" si="3"/>
        <v>60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  <c r="AU18" s="3" t="s">
        <v>7</v>
      </c>
      <c r="AV18" s="3" t="s">
        <v>7</v>
      </c>
      <c r="AW18" s="3" t="s">
        <v>7</v>
      </c>
      <c r="AX18" s="3" t="s">
        <v>7</v>
      </c>
      <c r="AY18" s="3" t="s">
        <v>7</v>
      </c>
      <c r="AZ18" s="3" t="s">
        <v>7</v>
      </c>
      <c r="BA18" s="3" t="s">
        <v>7</v>
      </c>
      <c r="BB18" s="3" t="s">
        <v>7</v>
      </c>
      <c r="BC18" s="3" t="s">
        <v>7</v>
      </c>
      <c r="BD18" s="3" t="s">
        <v>7</v>
      </c>
      <c r="BE18" s="3" t="s">
        <v>7</v>
      </c>
      <c r="BF18" s="3" t="s">
        <v>7</v>
      </c>
      <c r="BG18" s="3" t="s">
        <v>7</v>
      </c>
      <c r="BH18" s="3" t="s">
        <v>7</v>
      </c>
      <c r="BI18" s="3" t="s">
        <v>7</v>
      </c>
      <c r="BJ18" s="3" t="s">
        <v>7</v>
      </c>
      <c r="BK18" s="3" t="s">
        <v>7</v>
      </c>
      <c r="BL18" s="3" t="s">
        <v>7</v>
      </c>
      <c r="BM18" s="3" t="s">
        <v>7</v>
      </c>
      <c r="BN18" s="3" t="s">
        <v>7</v>
      </c>
      <c r="BO18" s="3" t="s">
        <v>7</v>
      </c>
      <c r="BP18" s="3" t="s">
        <v>7</v>
      </c>
      <c r="BQ18" s="3" t="s">
        <v>7</v>
      </c>
      <c r="BR18" s="3" t="s">
        <v>7</v>
      </c>
      <c r="BS18" s="3" t="s">
        <v>7</v>
      </c>
      <c r="BT18" s="3" t="s">
        <v>7</v>
      </c>
      <c r="BU18" s="3" t="s">
        <v>7</v>
      </c>
    </row>
    <row r="19" spans="1:73" x14ac:dyDescent="0.2">
      <c r="A19" t="s">
        <v>16</v>
      </c>
      <c r="B19" s="3">
        <f t="shared" si="2"/>
        <v>63</v>
      </c>
      <c r="C19" s="3">
        <f t="shared" si="3"/>
        <v>51</v>
      </c>
      <c r="D19" s="5">
        <f t="shared" si="4"/>
        <v>0</v>
      </c>
      <c r="E19" s="3">
        <f t="shared" si="0"/>
        <v>0</v>
      </c>
      <c r="F19" s="3">
        <f t="shared" si="1"/>
        <v>11</v>
      </c>
      <c r="G19" s="3">
        <f t="shared" si="5"/>
        <v>0</v>
      </c>
      <c r="H19" s="3">
        <f t="shared" si="6"/>
        <v>0</v>
      </c>
      <c r="I19" s="3">
        <f t="shared" si="7"/>
        <v>1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7</v>
      </c>
      <c r="AU19" s="3" t="s">
        <v>7</v>
      </c>
      <c r="AV19" s="3" t="s">
        <v>7</v>
      </c>
      <c r="AW19" s="3" t="s">
        <v>7</v>
      </c>
      <c r="AX19" s="3" t="s">
        <v>7</v>
      </c>
      <c r="AY19" s="3" t="s">
        <v>7</v>
      </c>
      <c r="AZ19" s="3" t="s">
        <v>7</v>
      </c>
      <c r="BA19" s="3" t="s">
        <v>7</v>
      </c>
      <c r="BB19" s="3" t="s">
        <v>7</v>
      </c>
      <c r="BC19" s="3" t="s">
        <v>7</v>
      </c>
      <c r="BD19" s="3" t="s">
        <v>7</v>
      </c>
      <c r="BE19" s="3" t="s">
        <v>7</v>
      </c>
      <c r="BF19" s="3" t="s">
        <v>7</v>
      </c>
      <c r="BG19" s="3" t="s">
        <v>7</v>
      </c>
      <c r="BH19" s="3" t="s">
        <v>7</v>
      </c>
      <c r="BI19" s="3" t="s">
        <v>7</v>
      </c>
      <c r="BJ19" s="3" t="s">
        <v>7</v>
      </c>
      <c r="BK19" s="3" t="s">
        <v>44</v>
      </c>
      <c r="BL19" s="3" t="s">
        <v>44</v>
      </c>
      <c r="BM19" s="3" t="s">
        <v>44</v>
      </c>
      <c r="BN19" s="3" t="s">
        <v>44</v>
      </c>
      <c r="BO19" s="3" t="s">
        <v>44</v>
      </c>
      <c r="BP19" s="3" t="s">
        <v>44</v>
      </c>
      <c r="BQ19" s="3" t="s">
        <v>44</v>
      </c>
      <c r="BR19" s="3" t="s">
        <v>44</v>
      </c>
      <c r="BS19" s="3" t="s">
        <v>44</v>
      </c>
      <c r="BT19" s="3" t="s">
        <v>44</v>
      </c>
      <c r="BU19" s="3" t="s">
        <v>20</v>
      </c>
    </row>
    <row r="20" spans="1:73" x14ac:dyDescent="0.2">
      <c r="A20" t="s">
        <v>37</v>
      </c>
      <c r="B20" s="3">
        <f t="shared" si="2"/>
        <v>63</v>
      </c>
      <c r="C20" s="3">
        <f t="shared" si="3"/>
        <v>41</v>
      </c>
      <c r="D20" s="5">
        <f t="shared" si="4"/>
        <v>0</v>
      </c>
      <c r="E20" s="3">
        <f t="shared" si="0"/>
        <v>8</v>
      </c>
      <c r="F20" s="3">
        <f t="shared" si="1"/>
        <v>1</v>
      </c>
      <c r="G20" s="3">
        <f t="shared" si="5"/>
        <v>7</v>
      </c>
      <c r="H20" s="3">
        <f t="shared" si="6"/>
        <v>6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  <c r="AU20" s="3" t="s">
        <v>50</v>
      </c>
      <c r="AV20" s="3" t="s">
        <v>7</v>
      </c>
      <c r="AW20" s="3" t="s">
        <v>7</v>
      </c>
      <c r="AX20" s="3" t="s">
        <v>7</v>
      </c>
      <c r="AY20" s="3" t="s">
        <v>7</v>
      </c>
      <c r="AZ20" s="3" t="s">
        <v>7</v>
      </c>
      <c r="BA20" s="3" t="s">
        <v>51</v>
      </c>
      <c r="BB20" s="3" t="s">
        <v>51</v>
      </c>
      <c r="BC20" s="3" t="s">
        <v>51</v>
      </c>
      <c r="BD20" s="3" t="s">
        <v>18</v>
      </c>
      <c r="BE20" s="3" t="s">
        <v>18</v>
      </c>
      <c r="BF20" s="3" t="s">
        <v>18</v>
      </c>
      <c r="BG20" s="3" t="s">
        <v>18</v>
      </c>
      <c r="BH20" s="3" t="s">
        <v>7</v>
      </c>
      <c r="BI20" s="3" t="s">
        <v>7</v>
      </c>
      <c r="BJ20" s="3" t="s">
        <v>7</v>
      </c>
      <c r="BK20" s="3" t="s">
        <v>51</v>
      </c>
      <c r="BL20" s="3" t="s">
        <v>7</v>
      </c>
      <c r="BM20" s="3" t="s">
        <v>50</v>
      </c>
      <c r="BN20" s="3" t="s">
        <v>50</v>
      </c>
      <c r="BO20" s="3" t="s">
        <v>50</v>
      </c>
      <c r="BP20" s="3" t="s">
        <v>50</v>
      </c>
      <c r="BQ20" s="3" t="s">
        <v>7</v>
      </c>
      <c r="BR20" s="3" t="s">
        <v>7</v>
      </c>
      <c r="BS20" s="3" t="s">
        <v>7</v>
      </c>
      <c r="BT20" s="3" t="s">
        <v>7</v>
      </c>
      <c r="BU20" s="3" t="s">
        <v>18</v>
      </c>
    </row>
    <row r="21" spans="1:73" x14ac:dyDescent="0.2">
      <c r="A21" t="s">
        <v>32</v>
      </c>
      <c r="B21" s="3">
        <f t="shared" si="2"/>
        <v>63</v>
      </c>
      <c r="C21" s="3">
        <f t="shared" si="3"/>
        <v>48</v>
      </c>
      <c r="D21" s="5">
        <f t="shared" si="4"/>
        <v>0</v>
      </c>
      <c r="E21" s="3">
        <f t="shared" si="0"/>
        <v>4</v>
      </c>
      <c r="F21" s="3">
        <f t="shared" si="1"/>
        <v>0</v>
      </c>
      <c r="G21" s="3">
        <f t="shared" si="5"/>
        <v>0</v>
      </c>
      <c r="H21" s="3">
        <f t="shared" si="6"/>
        <v>11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  <c r="AU21" s="3" t="s">
        <v>7</v>
      </c>
      <c r="AV21" s="3" t="s">
        <v>7</v>
      </c>
      <c r="AW21" s="3" t="s">
        <v>51</v>
      </c>
      <c r="AX21" s="3" t="s">
        <v>51</v>
      </c>
      <c r="AY21" s="3" t="s">
        <v>7</v>
      </c>
      <c r="AZ21" s="3" t="s">
        <v>7</v>
      </c>
      <c r="BA21" s="3" t="s">
        <v>51</v>
      </c>
      <c r="BB21" s="3" t="s">
        <v>51</v>
      </c>
      <c r="BC21" s="3" t="s">
        <v>51</v>
      </c>
      <c r="BD21" s="3" t="s">
        <v>7</v>
      </c>
      <c r="BE21" s="3" t="s">
        <v>7</v>
      </c>
      <c r="BF21" s="3" t="s">
        <v>7</v>
      </c>
      <c r="BG21" s="3" t="s">
        <v>7</v>
      </c>
      <c r="BH21" s="3" t="s">
        <v>7</v>
      </c>
      <c r="BI21" s="3" t="s">
        <v>7</v>
      </c>
      <c r="BJ21" s="3" t="s">
        <v>7</v>
      </c>
      <c r="BK21" s="3" t="s">
        <v>51</v>
      </c>
      <c r="BL21" s="3" t="s">
        <v>7</v>
      </c>
      <c r="BM21" s="3" t="s">
        <v>7</v>
      </c>
      <c r="BN21" s="3" t="s">
        <v>7</v>
      </c>
      <c r="BO21" s="3" t="s">
        <v>7</v>
      </c>
      <c r="BP21" s="3" t="s">
        <v>7</v>
      </c>
      <c r="BQ21" s="3" t="s">
        <v>18</v>
      </c>
      <c r="BR21" s="3" t="s">
        <v>18</v>
      </c>
      <c r="BS21" s="3" t="s">
        <v>18</v>
      </c>
      <c r="BT21" s="3" t="s">
        <v>18</v>
      </c>
      <c r="BU21" s="3" t="s">
        <v>7</v>
      </c>
    </row>
    <row r="22" spans="1:73" x14ac:dyDescent="0.2">
      <c r="A22" t="s">
        <v>33</v>
      </c>
      <c r="B22" s="3">
        <f t="shared" ref="B22:B26" si="9">COUNTA(K22:VR22)</f>
        <v>63</v>
      </c>
      <c r="C22" s="3">
        <f t="shared" ref="C22:C26" si="10">COUNTIF(K22:VR22,"P")</f>
        <v>45</v>
      </c>
      <c r="D22" s="5">
        <f t="shared" si="4"/>
        <v>0</v>
      </c>
      <c r="E22" s="3">
        <f t="shared" si="0"/>
        <v>0</v>
      </c>
      <c r="F22" s="3">
        <f t="shared" si="1"/>
        <v>5</v>
      </c>
      <c r="G22" s="3">
        <f t="shared" si="5"/>
        <v>0</v>
      </c>
      <c r="H22" s="3">
        <f t="shared" si="6"/>
        <v>10</v>
      </c>
      <c r="I22" s="3">
        <f t="shared" si="7"/>
        <v>3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  <c r="AU22" s="3" t="s">
        <v>7</v>
      </c>
      <c r="AV22" s="3" t="s">
        <v>7</v>
      </c>
      <c r="AW22" s="3" t="s">
        <v>7</v>
      </c>
      <c r="AX22" s="3" t="s">
        <v>7</v>
      </c>
      <c r="AY22" s="3" t="s">
        <v>7</v>
      </c>
      <c r="AZ22" s="3" t="s">
        <v>7</v>
      </c>
      <c r="BA22" s="3" t="s">
        <v>51</v>
      </c>
      <c r="BB22" s="3" t="s">
        <v>51</v>
      </c>
      <c r="BC22" s="3" t="s">
        <v>51</v>
      </c>
      <c r="BD22" s="3" t="s">
        <v>7</v>
      </c>
      <c r="BE22" s="3" t="s">
        <v>7</v>
      </c>
      <c r="BF22" s="3" t="s">
        <v>7</v>
      </c>
      <c r="BG22" s="3" t="s">
        <v>7</v>
      </c>
      <c r="BH22" s="3" t="s">
        <v>20</v>
      </c>
      <c r="BI22" s="3" t="s">
        <v>20</v>
      </c>
      <c r="BJ22" s="3" t="s">
        <v>20</v>
      </c>
      <c r="BK22" s="3" t="s">
        <v>51</v>
      </c>
      <c r="BL22" s="3" t="s">
        <v>44</v>
      </c>
      <c r="BM22" s="3" t="s">
        <v>44</v>
      </c>
      <c r="BN22" s="3" t="s">
        <v>44</v>
      </c>
      <c r="BO22" s="3" t="s">
        <v>44</v>
      </c>
      <c r="BP22" s="3" t="s">
        <v>44</v>
      </c>
      <c r="BQ22" s="3" t="s">
        <v>7</v>
      </c>
      <c r="BR22" s="3" t="s">
        <v>7</v>
      </c>
      <c r="BS22" s="3" t="s">
        <v>7</v>
      </c>
      <c r="BT22" s="3" t="s">
        <v>51</v>
      </c>
      <c r="BU22" s="3" t="s">
        <v>7</v>
      </c>
    </row>
    <row r="23" spans="1:73" x14ac:dyDescent="0.2">
      <c r="A23" t="s">
        <v>34</v>
      </c>
      <c r="B23" s="3">
        <f t="shared" si="9"/>
        <v>63</v>
      </c>
      <c r="C23" s="3">
        <f t="shared" si="10"/>
        <v>37</v>
      </c>
      <c r="D23" s="5">
        <f t="shared" si="4"/>
        <v>0</v>
      </c>
      <c r="E23" s="3">
        <f t="shared" si="0"/>
        <v>3</v>
      </c>
      <c r="F23" s="3">
        <f t="shared" si="1"/>
        <v>17</v>
      </c>
      <c r="G23" s="3">
        <f t="shared" si="5"/>
        <v>0</v>
      </c>
      <c r="H23" s="3">
        <f t="shared" si="6"/>
        <v>2</v>
      </c>
      <c r="I23" s="3">
        <f t="shared" si="7"/>
        <v>4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  <c r="AU23" s="3" t="s">
        <v>44</v>
      </c>
      <c r="AV23" s="3" t="s">
        <v>44</v>
      </c>
      <c r="AW23" s="3" t="s">
        <v>44</v>
      </c>
      <c r="AX23" s="3" t="s">
        <v>44</v>
      </c>
      <c r="AY23" s="3" t="s">
        <v>44</v>
      </c>
      <c r="AZ23" s="3" t="s">
        <v>44</v>
      </c>
      <c r="BA23" s="3" t="s">
        <v>44</v>
      </c>
      <c r="BB23" s="3" t="s">
        <v>44</v>
      </c>
      <c r="BC23" s="3" t="s">
        <v>44</v>
      </c>
      <c r="BD23" s="3" t="s">
        <v>44</v>
      </c>
      <c r="BE23" s="3" t="s">
        <v>44</v>
      </c>
      <c r="BF23" s="3" t="s">
        <v>44</v>
      </c>
      <c r="BG23" s="3" t="s">
        <v>44</v>
      </c>
      <c r="BH23" s="3" t="s">
        <v>44</v>
      </c>
      <c r="BI23" s="3" t="s">
        <v>44</v>
      </c>
      <c r="BJ23" s="3" t="s">
        <v>44</v>
      </c>
      <c r="BK23" s="3" t="s">
        <v>44</v>
      </c>
      <c r="BL23" s="3" t="s">
        <v>20</v>
      </c>
      <c r="BM23" s="3" t="s">
        <v>20</v>
      </c>
      <c r="BN23" s="3" t="s">
        <v>20</v>
      </c>
      <c r="BO23" s="3" t="s">
        <v>20</v>
      </c>
      <c r="BP23" s="3" t="s">
        <v>18</v>
      </c>
      <c r="BQ23" s="3" t="s">
        <v>7</v>
      </c>
      <c r="BR23" s="3" t="s">
        <v>7</v>
      </c>
      <c r="BS23" s="3" t="s">
        <v>7</v>
      </c>
      <c r="BT23" s="3" t="s">
        <v>7</v>
      </c>
      <c r="BU23" s="3" t="s">
        <v>7</v>
      </c>
    </row>
    <row r="24" spans="1:73" x14ac:dyDescent="0.2">
      <c r="A24" t="s">
        <v>36</v>
      </c>
      <c r="B24" s="3">
        <f t="shared" si="9"/>
        <v>63</v>
      </c>
      <c r="C24" s="3">
        <f t="shared" si="10"/>
        <v>47</v>
      </c>
      <c r="D24" s="5">
        <f t="shared" si="4"/>
        <v>0</v>
      </c>
      <c r="E24" s="3">
        <f t="shared" si="0"/>
        <v>0</v>
      </c>
      <c r="F24" s="3">
        <f t="shared" si="1"/>
        <v>15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  <c r="AU24" s="3" t="s">
        <v>7</v>
      </c>
      <c r="AV24" s="3" t="s">
        <v>7</v>
      </c>
      <c r="AW24" s="3" t="s">
        <v>7</v>
      </c>
      <c r="AX24" s="3" t="s">
        <v>7</v>
      </c>
      <c r="AY24" s="3" t="s">
        <v>7</v>
      </c>
      <c r="AZ24" s="3" t="s">
        <v>7</v>
      </c>
      <c r="BA24" s="3" t="s">
        <v>7</v>
      </c>
      <c r="BB24" s="3" t="s">
        <v>7</v>
      </c>
      <c r="BC24" s="3" t="s">
        <v>7</v>
      </c>
      <c r="BD24" s="3" t="s">
        <v>44</v>
      </c>
      <c r="BE24" s="3" t="s">
        <v>44</v>
      </c>
      <c r="BF24" s="3" t="s">
        <v>44</v>
      </c>
      <c r="BG24" s="3" t="s">
        <v>44</v>
      </c>
      <c r="BH24" s="3" t="s">
        <v>44</v>
      </c>
      <c r="BI24" s="3" t="s">
        <v>7</v>
      </c>
      <c r="BJ24" s="3" t="s">
        <v>7</v>
      </c>
      <c r="BK24" s="3" t="s">
        <v>7</v>
      </c>
      <c r="BL24" s="3" t="s">
        <v>44</v>
      </c>
      <c r="BM24" s="3" t="s">
        <v>44</v>
      </c>
      <c r="BN24" s="3" t="s">
        <v>44</v>
      </c>
      <c r="BO24" s="3" t="s">
        <v>44</v>
      </c>
      <c r="BP24" s="3" t="s">
        <v>44</v>
      </c>
      <c r="BQ24" s="3" t="s">
        <v>44</v>
      </c>
      <c r="BR24" s="3" t="s">
        <v>44</v>
      </c>
      <c r="BS24" s="3" t="s">
        <v>44</v>
      </c>
      <c r="BT24" s="3" t="s">
        <v>44</v>
      </c>
      <c r="BU24" s="3" t="s">
        <v>44</v>
      </c>
    </row>
    <row r="25" spans="1:73" x14ac:dyDescent="0.2">
      <c r="A25" t="s">
        <v>35</v>
      </c>
      <c r="B25" s="3">
        <f t="shared" si="9"/>
        <v>63</v>
      </c>
      <c r="C25" s="3">
        <f t="shared" si="10"/>
        <v>52</v>
      </c>
      <c r="D25" s="5">
        <f t="shared" si="4"/>
        <v>0</v>
      </c>
      <c r="E25" s="3">
        <f t="shared" si="0"/>
        <v>4</v>
      </c>
      <c r="F25" s="3">
        <f t="shared" si="1"/>
        <v>4</v>
      </c>
      <c r="G25" s="3">
        <f t="shared" si="5"/>
        <v>1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  <c r="AU25" s="3" t="s">
        <v>7</v>
      </c>
      <c r="AV25" s="3" t="s">
        <v>7</v>
      </c>
      <c r="AW25" s="3" t="s">
        <v>7</v>
      </c>
      <c r="AX25" s="3" t="s">
        <v>7</v>
      </c>
      <c r="AY25" s="3" t="s">
        <v>7</v>
      </c>
      <c r="AZ25" s="3" t="s">
        <v>7</v>
      </c>
      <c r="BA25" s="3" t="s">
        <v>18</v>
      </c>
      <c r="BB25" s="3" t="s">
        <v>7</v>
      </c>
      <c r="BC25" s="3" t="s">
        <v>7</v>
      </c>
      <c r="BD25" s="3" t="s">
        <v>7</v>
      </c>
      <c r="BE25" s="3" t="s">
        <v>7</v>
      </c>
      <c r="BF25" s="3" t="s">
        <v>7</v>
      </c>
      <c r="BG25" s="3" t="s">
        <v>7</v>
      </c>
      <c r="BH25" s="3" t="s">
        <v>7</v>
      </c>
      <c r="BI25" s="3" t="s">
        <v>50</v>
      </c>
      <c r="BJ25" s="3" t="s">
        <v>7</v>
      </c>
      <c r="BK25" s="3" t="s">
        <v>7</v>
      </c>
      <c r="BL25" s="3" t="s">
        <v>7</v>
      </c>
      <c r="BM25" s="3" t="s">
        <v>7</v>
      </c>
      <c r="BN25" s="3" t="s">
        <v>7</v>
      </c>
      <c r="BO25" s="3" t="s">
        <v>7</v>
      </c>
      <c r="BP25" s="3" t="s">
        <v>7</v>
      </c>
      <c r="BQ25" s="3" t="s">
        <v>7</v>
      </c>
      <c r="BR25" s="3" t="s">
        <v>7</v>
      </c>
      <c r="BS25" s="3" t="s">
        <v>7</v>
      </c>
      <c r="BT25" s="3" t="s">
        <v>7</v>
      </c>
      <c r="BU25" s="3" t="s">
        <v>7</v>
      </c>
    </row>
    <row r="26" spans="1:73" x14ac:dyDescent="0.2">
      <c r="A26" t="s">
        <v>15</v>
      </c>
      <c r="B26" s="3">
        <f t="shared" si="9"/>
        <v>63</v>
      </c>
      <c r="C26" s="3">
        <f t="shared" si="10"/>
        <v>46</v>
      </c>
      <c r="D26" s="5">
        <f t="shared" si="4"/>
        <v>0</v>
      </c>
      <c r="E26" s="3">
        <f t="shared" si="0"/>
        <v>0</v>
      </c>
      <c r="F26" s="3">
        <f t="shared" si="1"/>
        <v>16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  <c r="AU26" s="3" t="s">
        <v>7</v>
      </c>
      <c r="AV26" s="3" t="s">
        <v>7</v>
      </c>
      <c r="AW26" s="3" t="s">
        <v>7</v>
      </c>
      <c r="AX26" s="3" t="s">
        <v>7</v>
      </c>
      <c r="AY26" s="3" t="s">
        <v>7</v>
      </c>
      <c r="AZ26" s="3" t="s">
        <v>7</v>
      </c>
      <c r="BA26" s="3" t="s">
        <v>7</v>
      </c>
      <c r="BB26" s="3" t="s">
        <v>7</v>
      </c>
      <c r="BC26" s="3" t="s">
        <v>7</v>
      </c>
      <c r="BD26" s="3" t="s">
        <v>7</v>
      </c>
      <c r="BE26" s="3" t="s">
        <v>7</v>
      </c>
      <c r="BF26" s="3" t="s">
        <v>7</v>
      </c>
      <c r="BG26" s="3" t="s">
        <v>7</v>
      </c>
      <c r="BH26" s="3" t="s">
        <v>7</v>
      </c>
      <c r="BI26" s="3" t="s">
        <v>7</v>
      </c>
      <c r="BJ26" s="3" t="s">
        <v>7</v>
      </c>
      <c r="BK26" s="3" t="s">
        <v>7</v>
      </c>
      <c r="BL26" s="3" t="s">
        <v>7</v>
      </c>
      <c r="BM26" s="3" t="s">
        <v>7</v>
      </c>
      <c r="BN26" s="3" t="s">
        <v>7</v>
      </c>
      <c r="BO26" s="3" t="s">
        <v>7</v>
      </c>
      <c r="BP26" s="3" t="s">
        <v>7</v>
      </c>
      <c r="BQ26" s="3" t="s">
        <v>44</v>
      </c>
      <c r="BR26" s="3" t="s">
        <v>44</v>
      </c>
      <c r="BS26" s="3" t="s">
        <v>44</v>
      </c>
      <c r="BT26" s="3" t="s">
        <v>44</v>
      </c>
      <c r="BU26" s="3" t="s">
        <v>44</v>
      </c>
    </row>
    <row r="27" spans="1:73" x14ac:dyDescent="0.2">
      <c r="A27" t="s">
        <v>38</v>
      </c>
      <c r="B27" s="3">
        <f t="shared" ref="B27:B29" si="11">COUNTA(K27:VR27)</f>
        <v>60</v>
      </c>
      <c r="C27" s="3">
        <f t="shared" ref="C27:C29" si="12">COUNTIF(K27:VR27,"P")</f>
        <v>53</v>
      </c>
      <c r="D27" s="5">
        <f t="shared" ref="D27:D29" si="13">COUNTIF(K27:VR27,"REP")</f>
        <v>1</v>
      </c>
      <c r="E27" s="3">
        <f t="shared" ref="E27:E29" si="14">COUNTIF(K27:VS27,"A")</f>
        <v>2</v>
      </c>
      <c r="F27" s="3">
        <f t="shared" ref="F27:F29" si="15">COUNTIF(K27:VT27,"B")</f>
        <v>2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2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  <c r="AU27" s="3" t="s">
        <v>18</v>
      </c>
      <c r="AV27" s="3" t="s">
        <v>7</v>
      </c>
      <c r="AW27" s="3" t="s">
        <v>7</v>
      </c>
      <c r="AX27" s="3" t="s">
        <v>7</v>
      </c>
      <c r="AY27" s="3" t="s">
        <v>7</v>
      </c>
      <c r="AZ27" s="3" t="s">
        <v>7</v>
      </c>
      <c r="BA27" s="3" t="s">
        <v>7</v>
      </c>
      <c r="BB27" s="3" t="s">
        <v>7</v>
      </c>
      <c r="BC27" s="3" t="s">
        <v>7</v>
      </c>
      <c r="BD27" s="3" t="s">
        <v>44</v>
      </c>
      <c r="BE27" s="3" t="s">
        <v>44</v>
      </c>
      <c r="BF27" s="3" t="s">
        <v>20</v>
      </c>
      <c r="BG27" s="3" t="s">
        <v>20</v>
      </c>
      <c r="BH27" s="3" t="s">
        <v>7</v>
      </c>
      <c r="BI27" s="3" t="s">
        <v>7</v>
      </c>
      <c r="BJ27" s="3" t="s">
        <v>7</v>
      </c>
      <c r="BK27" s="3" t="s">
        <v>7</v>
      </c>
      <c r="BL27" s="3" t="s">
        <v>7</v>
      </c>
      <c r="BM27" s="3" t="s">
        <v>7</v>
      </c>
      <c r="BN27" s="3" t="s">
        <v>7</v>
      </c>
      <c r="BO27" s="3" t="s">
        <v>7</v>
      </c>
      <c r="BP27" s="3" t="s">
        <v>18</v>
      </c>
      <c r="BQ27" s="3" t="s">
        <v>7</v>
      </c>
      <c r="BR27" s="3" t="s">
        <v>7</v>
      </c>
      <c r="BS27" s="3" t="s">
        <v>7</v>
      </c>
      <c r="BT27" s="3" t="s">
        <v>7</v>
      </c>
      <c r="BU27" s="3" t="s">
        <v>7</v>
      </c>
    </row>
    <row r="28" spans="1:73" x14ac:dyDescent="0.2">
      <c r="A28" t="s">
        <v>39</v>
      </c>
      <c r="B28" s="3">
        <f t="shared" si="11"/>
        <v>59</v>
      </c>
      <c r="C28" s="3">
        <f t="shared" si="12"/>
        <v>57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2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  <c r="AU28" s="3" t="s">
        <v>7</v>
      </c>
      <c r="AV28" s="3" t="s">
        <v>7</v>
      </c>
      <c r="AW28" s="3" t="s">
        <v>7</v>
      </c>
      <c r="AX28" s="3" t="s">
        <v>7</v>
      </c>
      <c r="AY28" s="3" t="s">
        <v>7</v>
      </c>
      <c r="AZ28" s="3" t="s">
        <v>7</v>
      </c>
      <c r="BA28" s="3" t="s">
        <v>7</v>
      </c>
      <c r="BB28" s="3" t="s">
        <v>7</v>
      </c>
      <c r="BC28" s="3" t="s">
        <v>7</v>
      </c>
      <c r="BD28" s="3" t="s">
        <v>7</v>
      </c>
      <c r="BE28" s="3" t="s">
        <v>50</v>
      </c>
      <c r="BF28" s="3" t="s">
        <v>50</v>
      </c>
      <c r="BG28" s="3" t="s">
        <v>7</v>
      </c>
      <c r="BH28" s="3" t="s">
        <v>7</v>
      </c>
      <c r="BI28" s="3" t="s">
        <v>7</v>
      </c>
      <c r="BJ28" s="3" t="s">
        <v>7</v>
      </c>
      <c r="BK28" s="3" t="s">
        <v>7</v>
      </c>
      <c r="BL28" s="3" t="s">
        <v>7</v>
      </c>
      <c r="BM28" s="3" t="s">
        <v>7</v>
      </c>
      <c r="BN28" s="3" t="s">
        <v>7</v>
      </c>
      <c r="BO28" s="3" t="s">
        <v>7</v>
      </c>
      <c r="BP28" s="3" t="s">
        <v>7</v>
      </c>
      <c r="BQ28" s="3" t="s">
        <v>7</v>
      </c>
      <c r="BR28" s="3" t="s">
        <v>7</v>
      </c>
      <c r="BS28" s="3" t="s">
        <v>7</v>
      </c>
      <c r="BT28" s="3" t="s">
        <v>7</v>
      </c>
      <c r="BU28" s="3" t="s">
        <v>7</v>
      </c>
    </row>
    <row r="29" spans="1:73" x14ac:dyDescent="0.2">
      <c r="A29" t="s">
        <v>48</v>
      </c>
      <c r="B29" s="3">
        <f t="shared" si="11"/>
        <v>41</v>
      </c>
      <c r="C29" s="3">
        <f t="shared" si="12"/>
        <v>32</v>
      </c>
      <c r="D29" s="5">
        <f t="shared" si="13"/>
        <v>0</v>
      </c>
      <c r="E29" s="3">
        <f t="shared" si="14"/>
        <v>2</v>
      </c>
      <c r="F29" s="3">
        <f t="shared" si="15"/>
        <v>7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  <c r="AU29" s="3" t="s">
        <v>7</v>
      </c>
      <c r="AV29" s="3" t="s">
        <v>7</v>
      </c>
      <c r="AW29" s="3" t="s">
        <v>7</v>
      </c>
      <c r="AX29" s="3" t="s">
        <v>7</v>
      </c>
      <c r="AY29" s="3" t="s">
        <v>7</v>
      </c>
      <c r="AZ29" s="3" t="s">
        <v>7</v>
      </c>
      <c r="BA29" s="3" t="s">
        <v>7</v>
      </c>
      <c r="BB29" s="3" t="s">
        <v>7</v>
      </c>
      <c r="BC29" s="3" t="s">
        <v>7</v>
      </c>
      <c r="BD29" s="3" t="s">
        <v>7</v>
      </c>
      <c r="BE29" s="3" t="s">
        <v>7</v>
      </c>
      <c r="BF29" s="3" t="s">
        <v>7</v>
      </c>
      <c r="BG29" s="3" t="s">
        <v>7</v>
      </c>
      <c r="BH29" s="3" t="s">
        <v>7</v>
      </c>
      <c r="BI29" s="3" t="s">
        <v>7</v>
      </c>
      <c r="BJ29" s="3" t="s">
        <v>7</v>
      </c>
      <c r="BK29" s="3" t="s">
        <v>7</v>
      </c>
      <c r="BL29" s="3" t="s">
        <v>7</v>
      </c>
      <c r="BM29" s="3" t="s">
        <v>7</v>
      </c>
      <c r="BN29" s="3" t="s">
        <v>44</v>
      </c>
      <c r="BO29" s="3" t="s">
        <v>44</v>
      </c>
      <c r="BP29" s="3" t="s">
        <v>44</v>
      </c>
      <c r="BQ29" s="3" t="s">
        <v>7</v>
      </c>
      <c r="BR29" s="3" t="s">
        <v>7</v>
      </c>
      <c r="BS29" s="3" t="s">
        <v>7</v>
      </c>
      <c r="BT29" s="3" t="s">
        <v>7</v>
      </c>
      <c r="BU29" s="3" t="s">
        <v>18</v>
      </c>
    </row>
    <row r="30" spans="1:73" x14ac:dyDescent="0.2">
      <c r="A30" t="s">
        <v>49</v>
      </c>
      <c r="B30" s="3">
        <f t="shared" ref="B30" si="20">COUNTA(K30:VR30)</f>
        <v>41</v>
      </c>
      <c r="C30" s="3">
        <f t="shared" ref="C30" si="21">COUNTIF(K30:VR30,"P")</f>
        <v>15</v>
      </c>
      <c r="D30" s="5">
        <f t="shared" ref="D30" si="22">COUNTIF(K30:VR30,"REP")</f>
        <v>1</v>
      </c>
      <c r="E30" s="3">
        <f t="shared" ref="E30" si="23">COUNTIF(K30:VS30,"A")</f>
        <v>0</v>
      </c>
      <c r="F30" s="3">
        <f t="shared" ref="F30" si="24">COUNTIF(K30:VT30,"B")</f>
        <v>14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11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  <c r="AU30" s="3" t="s">
        <v>7</v>
      </c>
      <c r="AV30" s="3" t="s">
        <v>7</v>
      </c>
      <c r="AW30" s="3" t="s">
        <v>7</v>
      </c>
      <c r="AX30" s="3" t="s">
        <v>7</v>
      </c>
      <c r="AY30" s="3" t="s">
        <v>7</v>
      </c>
      <c r="AZ30" s="3" t="s">
        <v>7</v>
      </c>
      <c r="BA30" s="3" t="s">
        <v>44</v>
      </c>
      <c r="BB30" s="3" t="s">
        <v>44</v>
      </c>
      <c r="BC30" s="3" t="s">
        <v>44</v>
      </c>
      <c r="BD30" s="3" t="s">
        <v>44</v>
      </c>
      <c r="BE30" s="3" t="s">
        <v>44</v>
      </c>
      <c r="BF30" s="3" t="s">
        <v>44</v>
      </c>
      <c r="BG30" s="3" t="s">
        <v>44</v>
      </c>
      <c r="BH30" s="3" t="s">
        <v>44</v>
      </c>
      <c r="BI30" s="3" t="s">
        <v>44</v>
      </c>
      <c r="BJ30" s="3" t="s">
        <v>44</v>
      </c>
      <c r="BK30" s="3" t="s">
        <v>44</v>
      </c>
      <c r="BL30" s="3" t="s">
        <v>20</v>
      </c>
      <c r="BM30" s="3" t="s">
        <v>20</v>
      </c>
      <c r="BN30" s="3" t="s">
        <v>20</v>
      </c>
      <c r="BO30" s="3" t="s">
        <v>20</v>
      </c>
      <c r="BP30" s="3" t="s">
        <v>20</v>
      </c>
      <c r="BQ30" s="3" t="s">
        <v>7</v>
      </c>
      <c r="BR30" s="3" t="s">
        <v>7</v>
      </c>
      <c r="BS30" s="3" t="s">
        <v>47</v>
      </c>
      <c r="BT30" s="3" t="s">
        <v>7</v>
      </c>
      <c r="BU30" s="3" t="s">
        <v>7</v>
      </c>
    </row>
    <row r="31" spans="1:73" x14ac:dyDescent="0.2">
      <c r="A31" t="s">
        <v>52</v>
      </c>
      <c r="B31" s="3">
        <f t="shared" ref="B31" si="29">COUNTA(K31:VR31)</f>
        <v>41</v>
      </c>
      <c r="C31" s="3">
        <f t="shared" ref="C31" si="30">COUNTIF(K31:VR31,"P")</f>
        <v>35</v>
      </c>
      <c r="D31" s="5">
        <f t="shared" ref="D31" si="31">COUNTIF(K31:VR31,"REP")</f>
        <v>0</v>
      </c>
      <c r="E31" s="3">
        <f t="shared" ref="E31" si="32">COUNTIF(K31:VS31,"A")</f>
        <v>1</v>
      </c>
      <c r="F31" s="3">
        <f t="shared" ref="F31" si="33">COUNTIF(K31:VT31,"B")</f>
        <v>0</v>
      </c>
      <c r="G31" s="3">
        <f t="shared" ref="G31" si="34">COUNTIF(K31:VU31,"M")</f>
        <v>2</v>
      </c>
      <c r="H31" s="3">
        <f t="shared" ref="H31" si="35">COUNTIF(K31:VV31,"R")</f>
        <v>3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  <c r="AU31" s="3" t="s">
        <v>7</v>
      </c>
      <c r="AV31" s="3" t="s">
        <v>7</v>
      </c>
      <c r="AW31" s="3" t="s">
        <v>51</v>
      </c>
      <c r="AX31" s="3" t="s">
        <v>51</v>
      </c>
      <c r="AY31" s="3" t="s">
        <v>7</v>
      </c>
      <c r="AZ31" s="3" t="s">
        <v>7</v>
      </c>
      <c r="BA31" s="3" t="s">
        <v>7</v>
      </c>
      <c r="BB31" s="3" t="s">
        <v>7</v>
      </c>
      <c r="BC31" s="3" t="s">
        <v>7</v>
      </c>
      <c r="BD31" s="3" t="s">
        <v>7</v>
      </c>
      <c r="BE31" s="3" t="s">
        <v>7</v>
      </c>
      <c r="BF31" s="3" t="s">
        <v>50</v>
      </c>
      <c r="BG31" s="3" t="s">
        <v>50</v>
      </c>
      <c r="BH31" s="3" t="s">
        <v>7</v>
      </c>
      <c r="BI31" s="3" t="s">
        <v>7</v>
      </c>
      <c r="BJ31" s="3" t="s">
        <v>7</v>
      </c>
      <c r="BK31" s="3" t="s">
        <v>7</v>
      </c>
      <c r="BL31" s="3" t="s">
        <v>7</v>
      </c>
      <c r="BM31" s="3" t="s">
        <v>7</v>
      </c>
      <c r="BN31" s="3" t="s">
        <v>7</v>
      </c>
      <c r="BO31" s="3" t="s">
        <v>7</v>
      </c>
      <c r="BP31" s="3" t="s">
        <v>7</v>
      </c>
      <c r="BQ31" s="3" t="s">
        <v>7</v>
      </c>
      <c r="BR31" s="3" t="s">
        <v>7</v>
      </c>
      <c r="BS31" s="3" t="s">
        <v>7</v>
      </c>
      <c r="BT31" s="3" t="s">
        <v>7</v>
      </c>
      <c r="BU31" s="3" t="s">
        <v>18</v>
      </c>
    </row>
    <row r="32" spans="1:73" x14ac:dyDescent="0.2">
      <c r="A32" t="s">
        <v>53</v>
      </c>
      <c r="B32" s="3">
        <f t="shared" ref="B32" si="38">COUNTA(K32:VR32)</f>
        <v>14</v>
      </c>
      <c r="C32" s="3">
        <f t="shared" ref="C32" si="39">COUNTIF(K32:VR32,"P")</f>
        <v>14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  <c r="BH32" s="3" t="s">
        <v>7</v>
      </c>
      <c r="BI32" s="3" t="s">
        <v>7</v>
      </c>
      <c r="BJ32" s="3" t="s">
        <v>7</v>
      </c>
      <c r="BK32" s="3" t="s">
        <v>7</v>
      </c>
      <c r="BL32" s="3" t="s">
        <v>7</v>
      </c>
      <c r="BM32" s="3" t="s">
        <v>7</v>
      </c>
      <c r="BN32" s="3" t="s">
        <v>7</v>
      </c>
      <c r="BO32" s="3" t="s">
        <v>7</v>
      </c>
      <c r="BP32" s="3" t="s">
        <v>7</v>
      </c>
      <c r="BQ32" s="3" t="s">
        <v>7</v>
      </c>
      <c r="BR32" s="3" t="s">
        <v>7</v>
      </c>
      <c r="BS32" s="3" t="s">
        <v>7</v>
      </c>
      <c r="BT32" s="3" t="s">
        <v>7</v>
      </c>
      <c r="BU32" s="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2026-10-19T11:57:08Z</dcterms:modified>
</cp:coreProperties>
</file>