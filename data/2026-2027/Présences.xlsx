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EFA8E09F-90FD-E448-BCC3-CC56F09BE58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<sst xmlns="http://schemas.openxmlformats.org/spreadsheetml/2006/main" count="2043" uniqueCount="55">
  <si>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</si>
  <si>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</si>
  <si>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</si>
  <si>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</si>
  <si>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</si>
  <si>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</si>
  <si>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</si>
  <si>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</si>
  <si>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</si>
  <si>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</si>
  <si>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</si>
  <si>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</si>
  <si>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</si>
  <si>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</si>
  <si>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</si>
  <si>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</si>
  <si>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</si>
  <si>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</si>
  <si>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</si>
  <si>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</si>
  <si>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</si>
  <si>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</si>
  <si>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</si>
  <si>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</si>
  <si>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</si>
  <si>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</si>
  <si>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</si>
  <si>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</si>
  <si>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</si>
  <si>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</si>
  <si>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</si>
  <si>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</si>
  <si>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</si>
  <si>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</si>
  <si>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</si>
  <si>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</si>
  <si>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</si>
  <si>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</si>
  <si>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</si>
  <si>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</si>
  <si>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</si>
  <si>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</si>
  <si>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</si>
  <si>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</si>
  <si>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</si>
  <si>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</si>
  <si>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</si>
  <si>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</si>
  <si>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</si>
  <si>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</si>
  <si>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</si>
  <si>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</si>
  <si>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</si>
  <si>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</si>
  <si>
    <t>Jeremy Romany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</si>
</sst>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Z33"/>
  <sheetViews>
    <sheetView tabSelected="1" topLeftCell="A2" workbookViewId="0">
      <pane xSplit="1" topLeftCell="BY1" activePane="topRight" state="frozen"/>
      <selection pane="topRight" activeCell="BZ33" sqref="BZ33"/>
    </sheetView>
  </sheetViews>
  <sheetFormatPr baseColWidth="10" defaultRowHeight="16" x14ac:dyDescent="0.2"/>
  <cols>
    <col min="1" max="1" width="17.1640625" customWidth="1"/>
  </cols>
  <sheetData>
    <row r="1" spans="1:78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  <c r="BN1" s="4">
        <v>46302</v>
      </c>
      <c r="BO1" s="4">
        <v>46303</v>
      </c>
      <c r="BP1" s="4">
        <v>46304</v>
      </c>
      <c r="BQ1" s="4">
        <v>46308</v>
      </c>
      <c r="BR1" s="4">
        <v>46309</v>
      </c>
      <c r="BS1" s="4">
        <v>46310</v>
      </c>
      <c r="BT1" s="4">
        <v>46311</v>
      </c>
      <c r="BU1" s="4">
        <v>46314</v>
      </c>
      <c r="BV1" s="4">
        <v>46315</v>
      </c>
      <c r="BW1" s="4">
        <v>46316</v>
      </c>
      <c r="BX1" s="4">
        <v>46318</v>
      </c>
      <c r="BY1" s="4">
        <v>46321</v>
      </c>
      <c r="BZ1" s="4">
        <v>46322</v>
      </c>
    </row>
    <row r="2" spans="1:78" x14ac:dyDescent="0.2">
      <c r="A2" t="s">
        <v>9</v>
      </c>
      <c r="B2" s="3">
        <f>COUNTA(K2:VR2)</f>
        <v>68</v>
      </c>
      <c r="C2" s="3">
        <f>COUNTIF(K2:VR2,"P")</f>
        <v>44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  <c r="BN2" s="3" t="s">
        <v>7</v>
      </c>
      <c r="BO2" s="3" t="s">
        <v>7</v>
      </c>
      <c r="BP2" s="3" t="s">
        <v>7</v>
      </c>
      <c r="BQ2" s="3" t="s">
        <v>7</v>
      </c>
      <c r="BR2" s="3" t="s">
        <v>7</v>
      </c>
      <c r="BS2" s="3" t="s">
        <v>7</v>
      </c>
      <c r="BT2" s="3" t="s">
        <v>7</v>
      </c>
      <c r="BU2" s="3" t="s">
        <v>7</v>
      </c>
      <c r="BV2" s="3" t="s">
        <v>7</v>
      </c>
      <c r="BW2" s="3" t="s">
        <v>7</v>
      </c>
      <c r="BX2" s="3" t="s">
        <v>7</v>
      </c>
      <c r="BY2" s="3" t="s">
        <v>7</v>
      </c>
      <c r="BZ2" s="3" t="s">
        <v>7</v>
      </c>
    </row>
    <row r="3" spans="1:78" x14ac:dyDescent="0.2">
      <c r="A3" t="s">
        <v>10</v>
      </c>
      <c r="B3" s="3">
        <f t="shared" ref="B3:B21" si="2">COUNTA(K3:VR3)</f>
        <v>68</v>
      </c>
      <c r="C3" s="3">
        <f t="shared" ref="C3:C21" si="3">COUNTIF(K3:VR3,"P")</f>
        <v>53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  <c r="BN3" s="3" t="s">
        <v>7</v>
      </c>
      <c r="BO3" s="3" t="s">
        <v>7</v>
      </c>
      <c r="BP3" s="3" t="s">
        <v>7</v>
      </c>
      <c r="BQ3" s="3" t="s">
        <v>7</v>
      </c>
      <c r="BR3" s="3" t="s">
        <v>7</v>
      </c>
      <c r="BS3" s="3" t="s">
        <v>7</v>
      </c>
      <c r="BT3" s="3" t="s">
        <v>7</v>
      </c>
      <c r="BU3" s="3" t="s">
        <v>7</v>
      </c>
      <c r="BV3" s="3" t="s">
        <v>7</v>
      </c>
      <c r="BW3" s="3" t="s">
        <v>7</v>
      </c>
      <c r="BX3" s="3" t="s">
        <v>7</v>
      </c>
      <c r="BY3" s="3" t="s">
        <v>7</v>
      </c>
      <c r="BZ3" s="3" t="s">
        <v>7</v>
      </c>
    </row>
    <row r="4" spans="1:78" x14ac:dyDescent="0.2">
      <c r="A4" t="s">
        <v>24</v>
      </c>
      <c r="B4" s="3">
        <f t="shared" si="2"/>
        <v>68</v>
      </c>
      <c r="C4" s="3">
        <f t="shared" si="3"/>
        <v>60</v>
      </c>
      <c r="D4" s="5">
        <f t="shared" si="4"/>
        <v>0</v>
      </c>
      <c r="E4" s="3">
        <f t="shared" si="0"/>
        <v>0</v>
      </c>
      <c r="F4" s="3">
        <f t="shared" si="1"/>
        <v>4</v>
      </c>
      <c r="G4" s="3">
        <f t="shared" si="5"/>
        <v>4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  <c r="BN4" s="3" t="s">
        <v>7</v>
      </c>
      <c r="BO4" s="3" t="s">
        <v>7</v>
      </c>
      <c r="BP4" s="3" t="s">
        <v>7</v>
      </c>
      <c r="BQ4" s="3" t="s">
        <v>7</v>
      </c>
      <c r="BR4" s="3" t="s">
        <v>7</v>
      </c>
      <c r="BS4" s="3" t="s">
        <v>7</v>
      </c>
      <c r="BT4" s="3" t="s">
        <v>7</v>
      </c>
      <c r="BU4" s="3" t="s">
        <v>44</v>
      </c>
      <c r="BV4" s="3" t="s">
        <v>44</v>
      </c>
      <c r="BW4" s="3" t="s">
        <v>44</v>
      </c>
      <c r="BX4" s="3" t="s">
        <v>44</v>
      </c>
      <c r="BY4" s="3" t="s">
        <v>50</v>
      </c>
      <c r="BZ4" s="3" t="s">
        <v>50</v>
      </c>
    </row>
    <row r="5" spans="1:78" x14ac:dyDescent="0.2">
      <c r="A5" t="s">
        <v>11</v>
      </c>
      <c r="B5" s="3">
        <f t="shared" si="2"/>
        <v>68</v>
      </c>
      <c r="C5" s="3">
        <f t="shared" si="3"/>
        <v>60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4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  <c r="BN5" s="3" t="s">
        <v>7</v>
      </c>
      <c r="BO5" s="3" t="s">
        <v>7</v>
      </c>
      <c r="BP5" s="3" t="s">
        <v>7</v>
      </c>
      <c r="BQ5" s="3" t="s">
        <v>50</v>
      </c>
      <c r="BR5" s="3" t="s">
        <v>50</v>
      </c>
      <c r="BS5" s="3" t="s">
        <v>50</v>
      </c>
      <c r="BT5" s="3" t="s">
        <v>50</v>
      </c>
      <c r="BU5" s="3" t="s">
        <v>7</v>
      </c>
      <c r="BV5" s="3" t="s">
        <v>7</v>
      </c>
      <c r="BW5" s="3" t="s">
        <v>7</v>
      </c>
      <c r="BX5" s="3" t="s">
        <v>7</v>
      </c>
      <c r="BY5" s="3" t="s">
        <v>7</v>
      </c>
      <c r="BZ5" s="3" t="s">
        <v>7</v>
      </c>
    </row>
    <row r="6" spans="1:78" x14ac:dyDescent="0.2">
      <c r="A6" t="s">
        <v>25</v>
      </c>
      <c r="B6" s="3">
        <f t="shared" si="2"/>
        <v>68</v>
      </c>
      <c r="C6" s="3">
        <f t="shared" si="3"/>
        <v>68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  <c r="BN6" s="3" t="s">
        <v>7</v>
      </c>
      <c r="BO6" s="3" t="s">
        <v>7</v>
      </c>
      <c r="BP6" s="3" t="s">
        <v>7</v>
      </c>
      <c r="BQ6" s="3" t="s">
        <v>7</v>
      </c>
      <c r="BR6" s="3" t="s">
        <v>7</v>
      </c>
      <c r="BS6" s="3" t="s">
        <v>7</v>
      </c>
      <c r="BT6" s="3" t="s">
        <v>7</v>
      </c>
      <c r="BU6" s="3" t="s">
        <v>7</v>
      </c>
      <c r="BV6" s="3" t="s">
        <v>7</v>
      </c>
      <c r="BW6" s="3" t="s">
        <v>7</v>
      </c>
      <c r="BX6" s="3" t="s">
        <v>7</v>
      </c>
      <c r="BY6" s="3" t="s">
        <v>7</v>
      </c>
      <c r="BZ6" s="3" t="s">
        <v>7</v>
      </c>
    </row>
    <row r="7" spans="1:78" x14ac:dyDescent="0.2">
      <c r="A7" t="s">
        <v>26</v>
      </c>
      <c r="B7" s="3">
        <f t="shared" si="2"/>
        <v>68</v>
      </c>
      <c r="C7" s="3">
        <f t="shared" si="3"/>
        <v>50</v>
      </c>
      <c r="D7" s="5">
        <f t="shared" si="4"/>
        <v>0</v>
      </c>
      <c r="E7" s="3">
        <f>COUNTIF(K7:VS7,"A")</f>
        <v>0</v>
      </c>
      <c r="F7" s="3">
        <f t="shared" si="1"/>
        <v>9</v>
      </c>
      <c r="G7" s="3">
        <f t="shared" si="5"/>
        <v>2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44</v>
      </c>
      <c r="BQ7" s="3" t="s">
        <v>7</v>
      </c>
      <c r="BR7" s="3" t="s">
        <v>7</v>
      </c>
      <c r="BS7" s="3" t="s">
        <v>50</v>
      </c>
      <c r="BT7" s="3" t="s">
        <v>50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</row>
    <row r="8" spans="1:78" x14ac:dyDescent="0.2">
      <c r="A8" t="s">
        <v>27</v>
      </c>
      <c r="B8" s="3">
        <f t="shared" si="2"/>
        <v>68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45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  <c r="BN8" s="3" t="s">
        <v>44</v>
      </c>
      <c r="BO8" s="3" t="s">
        <v>44</v>
      </c>
      <c r="BP8" s="3" t="s">
        <v>44</v>
      </c>
      <c r="BQ8" s="3" t="s">
        <v>44</v>
      </c>
      <c r="BR8" s="3" t="s">
        <v>44</v>
      </c>
      <c r="BS8" s="3" t="s">
        <v>44</v>
      </c>
      <c r="BT8" s="3" t="s">
        <v>44</v>
      </c>
      <c r="BU8" s="3" t="s">
        <v>44</v>
      </c>
      <c r="BV8" s="3" t="s">
        <v>44</v>
      </c>
      <c r="BW8" s="3" t="s">
        <v>44</v>
      </c>
      <c r="BX8" s="3" t="s">
        <v>44</v>
      </c>
      <c r="BY8" s="3" t="s">
        <v>44</v>
      </c>
      <c r="BZ8" s="3" t="s">
        <v>44</v>
      </c>
    </row>
    <row r="9" spans="1:78" x14ac:dyDescent="0.2">
      <c r="A9" t="s">
        <v>17</v>
      </c>
      <c r="B9" s="3">
        <f t="shared" si="2"/>
        <v>68</v>
      </c>
      <c r="C9" s="3">
        <f t="shared" si="3"/>
        <v>60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1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  <c r="BN9" s="3" t="s">
        <v>7</v>
      </c>
      <c r="BO9" s="3" t="s">
        <v>7</v>
      </c>
      <c r="BP9" s="3" t="s">
        <v>7</v>
      </c>
      <c r="BQ9" s="3" t="s">
        <v>7</v>
      </c>
      <c r="BR9" s="3" t="s">
        <v>50</v>
      </c>
      <c r="BS9" s="3" t="s">
        <v>7</v>
      </c>
      <c r="BT9" s="3" t="s">
        <v>7</v>
      </c>
      <c r="BU9" s="3" t="s">
        <v>7</v>
      </c>
      <c r="BV9" s="3" t="s">
        <v>7</v>
      </c>
      <c r="BW9" s="3" t="s">
        <v>7</v>
      </c>
      <c r="BX9" s="3" t="s">
        <v>7</v>
      </c>
      <c r="BY9" s="3" t="s">
        <v>7</v>
      </c>
      <c r="BZ9" s="3" t="s">
        <v>7</v>
      </c>
    </row>
    <row r="10" spans="1:78" x14ac:dyDescent="0.2">
      <c r="A10" t="s">
        <v>28</v>
      </c>
      <c r="B10" s="3">
        <f t="shared" si="2"/>
        <v>68</v>
      </c>
      <c r="C10" s="3">
        <f t="shared" si="3"/>
        <v>58</v>
      </c>
      <c r="D10" s="5">
        <f t="shared" si="4"/>
        <v>0</v>
      </c>
      <c r="E10" s="3">
        <f t="shared" si="0"/>
        <v>3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  <c r="BN10" s="3" t="s">
        <v>7</v>
      </c>
      <c r="BO10" s="3" t="s">
        <v>18</v>
      </c>
      <c r="BP10" s="3" t="s">
        <v>7</v>
      </c>
      <c r="BQ10" s="3" t="s">
        <v>7</v>
      </c>
      <c r="BR10" s="3" t="s">
        <v>7</v>
      </c>
      <c r="BS10" s="3" t="s">
        <v>7</v>
      </c>
      <c r="BT10" s="3" t="s">
        <v>7</v>
      </c>
      <c r="BU10" s="3" t="s">
        <v>18</v>
      </c>
      <c r="BV10" s="3" t="s">
        <v>7</v>
      </c>
      <c r="BW10" s="3" t="s">
        <v>7</v>
      </c>
      <c r="BX10" s="3" t="s">
        <v>7</v>
      </c>
      <c r="BY10" s="3" t="s">
        <v>7</v>
      </c>
      <c r="BZ10" s="3" t="s">
        <v>7</v>
      </c>
    </row>
    <row r="11" spans="1:78" x14ac:dyDescent="0.2">
      <c r="A11" t="s">
        <v>12</v>
      </c>
      <c r="B11" s="3">
        <f t="shared" si="2"/>
        <v>68</v>
      </c>
      <c r="C11" s="3">
        <f t="shared" si="3"/>
        <v>68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  <c r="BN11" s="3" t="s">
        <v>7</v>
      </c>
      <c r="BO11" s="3" t="s">
        <v>7</v>
      </c>
      <c r="BP11" s="3" t="s">
        <v>7</v>
      </c>
      <c r="BQ11" s="3" t="s">
        <v>7</v>
      </c>
      <c r="BR11" s="3" t="s">
        <v>7</v>
      </c>
      <c r="BS11" s="3" t="s">
        <v>7</v>
      </c>
      <c r="BT11" s="3" t="s">
        <v>7</v>
      </c>
      <c r="BU11" s="3" t="s">
        <v>7</v>
      </c>
      <c r="BV11" s="3" t="s">
        <v>7</v>
      </c>
      <c r="BW11" s="3" t="s">
        <v>7</v>
      </c>
      <c r="BX11" s="3" t="s">
        <v>7</v>
      </c>
      <c r="BY11" s="3" t="s">
        <v>7</v>
      </c>
      <c r="BZ11" s="3" t="s">
        <v>7</v>
      </c>
    </row>
    <row r="12" spans="1:78" x14ac:dyDescent="0.2">
      <c r="A12" t="s">
        <v>13</v>
      </c>
      <c r="B12" s="3">
        <f t="shared" si="2"/>
        <v>68</v>
      </c>
      <c r="C12" s="3">
        <f t="shared" si="3"/>
        <v>54</v>
      </c>
      <c r="D12" s="5">
        <f t="shared" si="4"/>
        <v>0</v>
      </c>
      <c r="E12" s="3">
        <f t="shared" si="0"/>
        <v>5</v>
      </c>
      <c r="F12" s="3">
        <f t="shared" si="1"/>
        <v>6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  <c r="BN12" s="3" t="s">
        <v>7</v>
      </c>
      <c r="BO12" s="3" t="s">
        <v>7</v>
      </c>
      <c r="BP12" s="3" t="s">
        <v>7</v>
      </c>
      <c r="BQ12" s="3" t="s">
        <v>7</v>
      </c>
      <c r="BR12" s="3" t="s">
        <v>7</v>
      </c>
      <c r="BS12" s="3" t="s">
        <v>7</v>
      </c>
      <c r="BT12" s="3" t="s">
        <v>7</v>
      </c>
      <c r="BU12" s="3" t="s">
        <v>44</v>
      </c>
      <c r="BV12" s="3" t="s">
        <v>18</v>
      </c>
      <c r="BW12" s="3" t="s">
        <v>18</v>
      </c>
      <c r="BX12" s="3" t="s">
        <v>18</v>
      </c>
      <c r="BY12" s="3" t="s">
        <v>18</v>
      </c>
      <c r="BZ12" s="3" t="s">
        <v>18</v>
      </c>
    </row>
    <row r="13" spans="1:78" x14ac:dyDescent="0.2">
      <c r="A13" t="s">
        <v>23</v>
      </c>
      <c r="B13" s="3">
        <f t="shared" si="2"/>
        <v>68</v>
      </c>
      <c r="C13" s="3">
        <f t="shared" si="3"/>
        <v>62</v>
      </c>
      <c r="D13" s="5">
        <f t="shared" si="4"/>
        <v>0</v>
      </c>
      <c r="E13" s="3">
        <f t="shared" si="0"/>
        <v>0</v>
      </c>
      <c r="F13" s="3">
        <f t="shared" si="1"/>
        <v>4</v>
      </c>
      <c r="G13" s="3">
        <f t="shared" si="5"/>
        <v>1</v>
      </c>
      <c r="H13" s="3">
        <f t="shared" si="6"/>
        <v>0</v>
      </c>
      <c r="I13" s="3">
        <f t="shared" si="7"/>
        <v>1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  <c r="BN13" s="3" t="s">
        <v>44</v>
      </c>
      <c r="BO13" s="3" t="s">
        <v>44</v>
      </c>
      <c r="BP13" s="3" t="s">
        <v>20</v>
      </c>
      <c r="BQ13" s="3" t="s">
        <v>7</v>
      </c>
      <c r="BR13" s="3" t="s">
        <v>7</v>
      </c>
      <c r="BS13" s="3" t="s">
        <v>7</v>
      </c>
      <c r="BT13" s="3" t="s">
        <v>7</v>
      </c>
      <c r="BU13" s="3" t="s">
        <v>7</v>
      </c>
      <c r="BV13" s="3" t="s">
        <v>7</v>
      </c>
      <c r="BW13" s="3" t="s">
        <v>7</v>
      </c>
      <c r="BX13" s="3" t="s">
        <v>7</v>
      </c>
      <c r="BY13" s="3" t="s">
        <v>7</v>
      </c>
      <c r="BZ13" s="3" t="s">
        <v>7</v>
      </c>
    </row>
    <row r="14" spans="1:78" x14ac:dyDescent="0.2">
      <c r="A14" t="s">
        <v>14</v>
      </c>
      <c r="B14" s="3">
        <f t="shared" si="2"/>
        <v>68</v>
      </c>
      <c r="C14" s="3">
        <f t="shared" si="3"/>
        <v>62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1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  <c r="BN14" s="3" t="s">
        <v>7</v>
      </c>
      <c r="BO14" s="3" t="s">
        <v>7</v>
      </c>
      <c r="BP14" s="3" t="s">
        <v>7</v>
      </c>
      <c r="BQ14" s="3" t="s">
        <v>7</v>
      </c>
      <c r="BR14" s="3" t="s">
        <v>7</v>
      </c>
      <c r="BS14" s="3" t="s">
        <v>7</v>
      </c>
      <c r="BT14" s="3" t="s">
        <v>7</v>
      </c>
      <c r="BU14" s="3" t="s">
        <v>7</v>
      </c>
      <c r="BV14" s="3" t="s">
        <v>7</v>
      </c>
      <c r="BW14" s="3" t="s">
        <v>7</v>
      </c>
      <c r="BX14" s="3" t="s">
        <v>50</v>
      </c>
      <c r="BY14" s="3" t="s">
        <v>7</v>
      </c>
      <c r="BZ14" s="3" t="s">
        <v>7</v>
      </c>
    </row>
    <row r="15" spans="1:78" x14ac:dyDescent="0.2">
      <c r="A15" t="s">
        <v>29</v>
      </c>
      <c r="B15" s="3">
        <f t="shared" si="2"/>
        <v>68</v>
      </c>
      <c r="C15" s="3">
        <f t="shared" si="3"/>
        <v>56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12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  <c r="BN15" s="3" t="s">
        <v>7</v>
      </c>
      <c r="BO15" s="3" t="s">
        <v>7</v>
      </c>
      <c r="BP15" s="3" t="s">
        <v>7</v>
      </c>
      <c r="BQ15" s="3" t="s">
        <v>7</v>
      </c>
      <c r="BR15" s="3" t="s">
        <v>7</v>
      </c>
      <c r="BS15" s="3" t="s">
        <v>7</v>
      </c>
      <c r="BT15" s="3" t="s">
        <v>51</v>
      </c>
      <c r="BU15" s="3" t="s">
        <v>7</v>
      </c>
      <c r="BV15" s="3" t="s">
        <v>7</v>
      </c>
      <c r="BW15" s="3" t="s">
        <v>7</v>
      </c>
      <c r="BX15" s="3" t="s">
        <v>51</v>
      </c>
      <c r="BY15" s="3" t="s">
        <v>7</v>
      </c>
      <c r="BZ15" s="3" t="s">
        <v>7</v>
      </c>
    </row>
    <row r="16" spans="1:78" x14ac:dyDescent="0.2">
      <c r="A16" t="s">
        <v>30</v>
      </c>
      <c r="B16" s="3">
        <f t="shared" si="2"/>
        <v>68</v>
      </c>
      <c r="C16" s="3">
        <f t="shared" si="3"/>
        <v>47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1</v>
      </c>
      <c r="H16" s="3">
        <f t="shared" si="6"/>
        <v>12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  <c r="BN16" s="3" t="s">
        <v>7</v>
      </c>
      <c r="BO16" s="3" t="s">
        <v>7</v>
      </c>
      <c r="BP16" s="3" t="s">
        <v>7</v>
      </c>
      <c r="BQ16" s="3" t="s">
        <v>7</v>
      </c>
      <c r="BR16" s="3" t="s">
        <v>7</v>
      </c>
      <c r="BS16" s="3" t="s">
        <v>7</v>
      </c>
      <c r="BT16" s="3" t="s">
        <v>51</v>
      </c>
      <c r="BU16" s="3" t="s">
        <v>7</v>
      </c>
      <c r="BV16" s="3" t="s">
        <v>7</v>
      </c>
      <c r="BW16" s="3" t="s">
        <v>7</v>
      </c>
      <c r="BX16" s="3" t="s">
        <v>7</v>
      </c>
      <c r="BY16" s="3" t="s">
        <v>7</v>
      </c>
      <c r="BZ16" s="3" t="s">
        <v>50</v>
      </c>
    </row>
    <row r="17" spans="1:78" x14ac:dyDescent="0.2">
      <c r="A17" t="s">
        <v>31</v>
      </c>
      <c r="B17" s="3">
        <f t="shared" si="2"/>
        <v>68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13</v>
      </c>
      <c r="G17" s="3">
        <f t="shared" si="5"/>
        <v>0</v>
      </c>
      <c r="H17" s="3">
        <f t="shared" si="6"/>
        <v>0</v>
      </c>
      <c r="I17" s="3">
        <f t="shared" si="7"/>
        <v>11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  <c r="BN17" s="3" t="s">
        <v>20</v>
      </c>
      <c r="BO17" s="3" t="s">
        <v>20</v>
      </c>
      <c r="BP17" s="3" t="s">
        <v>20</v>
      </c>
      <c r="BQ17" s="3" t="s">
        <v>20</v>
      </c>
      <c r="BR17" s="3" t="s">
        <v>20</v>
      </c>
      <c r="BS17" s="3" t="s">
        <v>20</v>
      </c>
      <c r="BT17" s="3" t="s">
        <v>20</v>
      </c>
      <c r="BU17" s="3" t="s">
        <v>44</v>
      </c>
      <c r="BV17" s="3" t="s">
        <v>44</v>
      </c>
      <c r="BW17" s="3" t="s">
        <v>44</v>
      </c>
      <c r="BX17" s="3" t="s">
        <v>44</v>
      </c>
      <c r="BY17" s="3" t="s">
        <v>44</v>
      </c>
      <c r="BZ17" s="3" t="s">
        <v>44</v>
      </c>
    </row>
    <row r="18" spans="1:78" x14ac:dyDescent="0.2">
      <c r="A18" t="s">
        <v>21</v>
      </c>
      <c r="B18" s="3">
        <f t="shared" si="2"/>
        <v>68</v>
      </c>
      <c r="C18" s="3">
        <f t="shared" si="3"/>
        <v>65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  <c r="BN18" s="3" t="s">
        <v>7</v>
      </c>
      <c r="BO18" s="3" t="s">
        <v>7</v>
      </c>
      <c r="BP18" s="3" t="s">
        <v>7</v>
      </c>
      <c r="BQ18" s="3" t="s">
        <v>7</v>
      </c>
      <c r="BR18" s="3" t="s">
        <v>7</v>
      </c>
      <c r="BS18" s="3" t="s">
        <v>7</v>
      </c>
      <c r="BT18" s="3" t="s">
        <v>7</v>
      </c>
      <c r="BU18" s="3" t="s">
        <v>7</v>
      </c>
      <c r="BV18" s="3" t="s">
        <v>7</v>
      </c>
      <c r="BW18" s="3" t="s">
        <v>7</v>
      </c>
      <c r="BX18" s="3" t="s">
        <v>7</v>
      </c>
      <c r="BY18" s="3" t="s">
        <v>7</v>
      </c>
      <c r="BZ18" s="3" t="s">
        <v>7</v>
      </c>
    </row>
    <row r="19" spans="1:78" x14ac:dyDescent="0.2">
      <c r="A19" t="s">
        <v>16</v>
      </c>
      <c r="B19" s="3">
        <f t="shared" si="2"/>
        <v>68</v>
      </c>
      <c r="C19" s="3">
        <f t="shared" si="3"/>
        <v>53</v>
      </c>
      <c r="D19" s="5">
        <f t="shared" si="4"/>
        <v>0</v>
      </c>
      <c r="E19" s="3">
        <f t="shared" si="0"/>
        <v>0</v>
      </c>
      <c r="F19" s="3">
        <f t="shared" si="1"/>
        <v>11</v>
      </c>
      <c r="G19" s="3">
        <f t="shared" si="5"/>
        <v>0</v>
      </c>
      <c r="H19" s="3">
        <f t="shared" si="6"/>
        <v>0</v>
      </c>
      <c r="I19" s="3">
        <f t="shared" si="7"/>
        <v>4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  <c r="BN19" s="3" t="s">
        <v>44</v>
      </c>
      <c r="BO19" s="3" t="s">
        <v>44</v>
      </c>
      <c r="BP19" s="3" t="s">
        <v>44</v>
      </c>
      <c r="BQ19" s="3" t="s">
        <v>44</v>
      </c>
      <c r="BR19" s="3" t="s">
        <v>44</v>
      </c>
      <c r="BS19" s="3" t="s">
        <v>44</v>
      </c>
      <c r="BT19" s="3" t="s">
        <v>44</v>
      </c>
      <c r="BU19" s="3" t="s">
        <v>20</v>
      </c>
      <c r="BV19" s="3" t="s">
        <v>20</v>
      </c>
      <c r="BW19" s="3" t="s">
        <v>20</v>
      </c>
      <c r="BX19" s="3" t="s">
        <v>20</v>
      </c>
      <c r="BY19" s="3" t="s">
        <v>7</v>
      </c>
      <c r="BZ19" s="3" t="s">
        <v>7</v>
      </c>
    </row>
    <row r="20" spans="1:78" x14ac:dyDescent="0.2">
      <c r="A20" t="s">
        <v>37</v>
      </c>
      <c r="B20" s="3">
        <f t="shared" si="2"/>
        <v>68</v>
      </c>
      <c r="C20" s="3">
        <f t="shared" si="3"/>
        <v>46</v>
      </c>
      <c r="D20" s="5">
        <f t="shared" si="4"/>
        <v>0</v>
      </c>
      <c r="E20" s="3">
        <f t="shared" si="0"/>
        <v>8</v>
      </c>
      <c r="F20" s="3">
        <f t="shared" si="1"/>
        <v>1</v>
      </c>
      <c r="G20" s="3">
        <f t="shared" si="5"/>
        <v>7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  <c r="BN20" s="3" t="s">
        <v>50</v>
      </c>
      <c r="BO20" s="3" t="s">
        <v>50</v>
      </c>
      <c r="BP20" s="3" t="s">
        <v>50</v>
      </c>
      <c r="BQ20" s="3" t="s">
        <v>7</v>
      </c>
      <c r="BR20" s="3" t="s">
        <v>7</v>
      </c>
      <c r="BS20" s="3" t="s">
        <v>7</v>
      </c>
      <c r="BT20" s="3" t="s">
        <v>7</v>
      </c>
      <c r="BU20" s="3" t="s">
        <v>18</v>
      </c>
      <c r="BV20" s="3" t="s">
        <v>7</v>
      </c>
      <c r="BW20" s="3" t="s">
        <v>7</v>
      </c>
      <c r="BX20" s="3" t="s">
        <v>7</v>
      </c>
      <c r="BY20" s="3" t="s">
        <v>7</v>
      </c>
      <c r="BZ20" s="3" t="s">
        <v>7</v>
      </c>
    </row>
    <row r="21" spans="1:78" x14ac:dyDescent="0.2">
      <c r="A21" t="s">
        <v>32</v>
      </c>
      <c r="B21" s="3">
        <f t="shared" si="2"/>
        <v>68</v>
      </c>
      <c r="C21" s="3">
        <f t="shared" si="3"/>
        <v>52</v>
      </c>
      <c r="D21" s="5">
        <f t="shared" si="4"/>
        <v>0</v>
      </c>
      <c r="E21" s="3">
        <f t="shared" si="0"/>
        <v>4</v>
      </c>
      <c r="F21" s="3">
        <f t="shared" si="1"/>
        <v>0</v>
      </c>
      <c r="G21" s="3">
        <f t="shared" si="5"/>
        <v>0</v>
      </c>
      <c r="H21" s="3">
        <f t="shared" si="6"/>
        <v>12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  <c r="BN21" s="3" t="s">
        <v>7</v>
      </c>
      <c r="BO21" s="3" t="s">
        <v>7</v>
      </c>
      <c r="BP21" s="3" t="s">
        <v>7</v>
      </c>
      <c r="BQ21" s="3" t="s">
        <v>18</v>
      </c>
      <c r="BR21" s="3" t="s">
        <v>18</v>
      </c>
      <c r="BS21" s="3" t="s">
        <v>18</v>
      </c>
      <c r="BT21" s="3" t="s">
        <v>18</v>
      </c>
      <c r="BU21" s="3" t="s">
        <v>7</v>
      </c>
      <c r="BV21" s="3" t="s">
        <v>7</v>
      </c>
      <c r="BW21" s="3" t="s">
        <v>7</v>
      </c>
      <c r="BX21" s="3" t="s">
        <v>51</v>
      </c>
      <c r="BY21" s="3" t="s">
        <v>7</v>
      </c>
      <c r="BZ21" s="3" t="s">
        <v>7</v>
      </c>
    </row>
    <row r="22" spans="1:78" x14ac:dyDescent="0.2">
      <c r="A22" t="s">
        <v>33</v>
      </c>
      <c r="B22" s="3">
        <f t="shared" ref="B22:B26" si="9">COUNTA(K22:VR22)</f>
        <v>68</v>
      </c>
      <c r="C22" s="3">
        <f t="shared" ref="C22:C26" si="10">COUNTIF(K22:VR22,"P")</f>
        <v>48</v>
      </c>
      <c r="D22" s="5">
        <f t="shared" si="4"/>
        <v>0</v>
      </c>
      <c r="E22" s="3">
        <f t="shared" si="0"/>
        <v>0</v>
      </c>
      <c r="F22" s="3">
        <f t="shared" si="1"/>
        <v>5</v>
      </c>
      <c r="G22" s="3">
        <f t="shared" si="5"/>
        <v>1</v>
      </c>
      <c r="H22" s="3">
        <f t="shared" si="6"/>
        <v>11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  <c r="BN22" s="3" t="s">
        <v>44</v>
      </c>
      <c r="BO22" s="3" t="s">
        <v>44</v>
      </c>
      <c r="BP22" s="3" t="s">
        <v>44</v>
      </c>
      <c r="BQ22" s="3" t="s">
        <v>7</v>
      </c>
      <c r="BR22" s="3" t="s">
        <v>7</v>
      </c>
      <c r="BS22" s="3" t="s">
        <v>7</v>
      </c>
      <c r="BT22" s="3" t="s">
        <v>51</v>
      </c>
      <c r="BU22" s="3" t="s">
        <v>7</v>
      </c>
      <c r="BV22" s="3" t="s">
        <v>7</v>
      </c>
      <c r="BW22" s="3" t="s">
        <v>7</v>
      </c>
      <c r="BX22" s="3" t="s">
        <v>51</v>
      </c>
      <c r="BY22" s="3" t="s">
        <v>50</v>
      </c>
      <c r="BZ22" s="3" t="s">
        <v>7</v>
      </c>
    </row>
    <row r="23" spans="1:78" x14ac:dyDescent="0.2">
      <c r="A23" t="s">
        <v>34</v>
      </c>
      <c r="B23" s="3">
        <f t="shared" si="9"/>
        <v>68</v>
      </c>
      <c r="C23" s="3">
        <f t="shared" si="10"/>
        <v>42</v>
      </c>
      <c r="D23" s="5">
        <f t="shared" si="4"/>
        <v>0</v>
      </c>
      <c r="E23" s="3">
        <f t="shared" si="0"/>
        <v>3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4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  <c r="BN23" s="3" t="s">
        <v>20</v>
      </c>
      <c r="BO23" s="3" t="s">
        <v>20</v>
      </c>
      <c r="BP23" s="3" t="s">
        <v>18</v>
      </c>
      <c r="BQ23" s="3" t="s">
        <v>7</v>
      </c>
      <c r="BR23" s="3" t="s">
        <v>7</v>
      </c>
      <c r="BS23" s="3" t="s">
        <v>7</v>
      </c>
      <c r="BT23" s="3" t="s">
        <v>7</v>
      </c>
      <c r="BU23" s="3" t="s">
        <v>7</v>
      </c>
      <c r="BV23" s="3" t="s">
        <v>7</v>
      </c>
      <c r="BW23" s="3" t="s">
        <v>7</v>
      </c>
      <c r="BX23" s="3" t="s">
        <v>7</v>
      </c>
      <c r="BY23" s="3" t="s">
        <v>7</v>
      </c>
      <c r="BZ23" s="3" t="s">
        <v>7</v>
      </c>
    </row>
    <row r="24" spans="1:78" x14ac:dyDescent="0.2">
      <c r="A24" t="s">
        <v>36</v>
      </c>
      <c r="B24" s="3">
        <f t="shared" si="9"/>
        <v>68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20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  <c r="BN24" s="3" t="s">
        <v>44</v>
      </c>
      <c r="BO24" s="3" t="s">
        <v>44</v>
      </c>
      <c r="BP24" s="3" t="s">
        <v>44</v>
      </c>
      <c r="BQ24" s="3" t="s">
        <v>44</v>
      </c>
      <c r="BR24" s="3" t="s">
        <v>44</v>
      </c>
      <c r="BS24" s="3" t="s">
        <v>44</v>
      </c>
      <c r="BT24" s="3" t="s">
        <v>44</v>
      </c>
      <c r="BU24" s="3" t="s">
        <v>44</v>
      </c>
      <c r="BV24" s="3" t="s">
        <v>44</v>
      </c>
      <c r="BW24" s="3" t="s">
        <v>44</v>
      </c>
      <c r="BX24" s="3" t="s">
        <v>44</v>
      </c>
      <c r="BY24" s="3" t="s">
        <v>44</v>
      </c>
      <c r="BZ24" s="3" t="s">
        <v>44</v>
      </c>
    </row>
    <row r="25" spans="1:78" x14ac:dyDescent="0.2">
      <c r="A25" t="s">
        <v>35</v>
      </c>
      <c r="B25" s="3">
        <f t="shared" si="9"/>
        <v>68</v>
      </c>
      <c r="C25" s="3">
        <f t="shared" si="10"/>
        <v>57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  <c r="BN25" s="3" t="s">
        <v>7</v>
      </c>
      <c r="BO25" s="3" t="s">
        <v>7</v>
      </c>
      <c r="BP25" s="3" t="s">
        <v>7</v>
      </c>
      <c r="BQ25" s="3" t="s">
        <v>7</v>
      </c>
      <c r="BR25" s="3" t="s">
        <v>7</v>
      </c>
      <c r="BS25" s="3" t="s">
        <v>7</v>
      </c>
      <c r="BT25" s="3" t="s">
        <v>7</v>
      </c>
      <c r="BU25" s="3" t="s">
        <v>7</v>
      </c>
      <c r="BV25" s="3" t="s">
        <v>7</v>
      </c>
      <c r="BW25" s="3" t="s">
        <v>7</v>
      </c>
      <c r="BX25" s="3" t="s">
        <v>7</v>
      </c>
      <c r="BY25" s="3" t="s">
        <v>7</v>
      </c>
      <c r="BZ25" s="3" t="s">
        <v>7</v>
      </c>
    </row>
    <row r="26" spans="1:78" x14ac:dyDescent="0.2">
      <c r="A26" t="s">
        <v>15</v>
      </c>
      <c r="B26" s="3">
        <f t="shared" si="9"/>
        <v>68</v>
      </c>
      <c r="C26" s="3">
        <f t="shared" si="10"/>
        <v>46</v>
      </c>
      <c r="D26" s="5">
        <f t="shared" si="4"/>
        <v>0</v>
      </c>
      <c r="E26" s="3">
        <f t="shared" si="0"/>
        <v>0</v>
      </c>
      <c r="F26" s="3">
        <f t="shared" si="1"/>
        <v>21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  <c r="BN26" s="3" t="s">
        <v>7</v>
      </c>
      <c r="BO26" s="3" t="s">
        <v>7</v>
      </c>
      <c r="BP26" s="3" t="s">
        <v>7</v>
      </c>
      <c r="BQ26" s="3" t="s">
        <v>44</v>
      </c>
      <c r="BR26" s="3" t="s">
        <v>44</v>
      </c>
      <c r="BS26" s="3" t="s">
        <v>44</v>
      </c>
      <c r="BT26" s="3" t="s">
        <v>44</v>
      </c>
      <c r="BU26" s="3" t="s">
        <v>44</v>
      </c>
      <c r="BV26" s="3" t="s">
        <v>44</v>
      </c>
      <c r="BW26" s="3" t="s">
        <v>44</v>
      </c>
      <c r="BX26" s="3" t="s">
        <v>44</v>
      </c>
      <c r="BY26" s="3" t="s">
        <v>44</v>
      </c>
      <c r="BZ26" s="3" t="s">
        <v>44</v>
      </c>
    </row>
    <row r="27" spans="1:78" x14ac:dyDescent="0.2">
      <c r="A27" t="s">
        <v>38</v>
      </c>
      <c r="B27" s="3">
        <f t="shared" ref="B27:B29" si="11">COUNTA(K27:VR27)</f>
        <v>65</v>
      </c>
      <c r="C27" s="3">
        <f t="shared" ref="C27:C29" si="12">COUNTIF(K27:VR27,"P")</f>
        <v>58</v>
      </c>
      <c r="D27" s="5">
        <f t="shared" ref="D27:D29" si="13">COUNTIF(K27:VR27,"REP")</f>
        <v>1</v>
      </c>
      <c r="E27" s="3">
        <f t="shared" ref="E27:E29" si="14">COUNTIF(K27:VS27,"A")</f>
        <v>2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  <c r="BN27" s="3" t="s">
        <v>7</v>
      </c>
      <c r="BO27" s="3" t="s">
        <v>7</v>
      </c>
      <c r="BP27" s="3" t="s">
        <v>18</v>
      </c>
      <c r="BQ27" s="3" t="s">
        <v>7</v>
      </c>
      <c r="BR27" s="3" t="s">
        <v>7</v>
      </c>
      <c r="BS27" s="3" t="s">
        <v>7</v>
      </c>
      <c r="BT27" s="3" t="s">
        <v>7</v>
      </c>
      <c r="BU27" s="3" t="s">
        <v>7</v>
      </c>
      <c r="BV27" s="3" t="s">
        <v>7</v>
      </c>
      <c r="BW27" s="3" t="s">
        <v>7</v>
      </c>
      <c r="BX27" s="3" t="s">
        <v>7</v>
      </c>
      <c r="BY27" s="3" t="s">
        <v>7</v>
      </c>
      <c r="BZ27" s="3" t="s">
        <v>7</v>
      </c>
    </row>
    <row r="28" spans="1:78" x14ac:dyDescent="0.2">
      <c r="A28" t="s">
        <v>39</v>
      </c>
      <c r="B28" s="3">
        <f t="shared" si="11"/>
        <v>64</v>
      </c>
      <c r="C28" s="3">
        <f t="shared" si="12"/>
        <v>62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  <c r="BN28" s="3" t="s">
        <v>7</v>
      </c>
      <c r="BO28" s="3" t="s">
        <v>7</v>
      </c>
      <c r="BP28" s="3" t="s">
        <v>7</v>
      </c>
      <c r="BQ28" s="3" t="s">
        <v>7</v>
      </c>
      <c r="BR28" s="3" t="s">
        <v>7</v>
      </c>
      <c r="BS28" s="3" t="s">
        <v>7</v>
      </c>
      <c r="BT28" s="3" t="s">
        <v>7</v>
      </c>
      <c r="BU28" s="3" t="s">
        <v>7</v>
      </c>
      <c r="BV28" s="3" t="s">
        <v>7</v>
      </c>
      <c r="BW28" s="3" t="s">
        <v>7</v>
      </c>
      <c r="BX28" s="3" t="s">
        <v>7</v>
      </c>
      <c r="BY28" s="3" t="s">
        <v>7</v>
      </c>
      <c r="BZ28" s="3" t="s">
        <v>7</v>
      </c>
    </row>
    <row r="29" spans="1:78" x14ac:dyDescent="0.2">
      <c r="A29" t="s">
        <v>48</v>
      </c>
      <c r="B29" s="3">
        <f t="shared" si="11"/>
        <v>46</v>
      </c>
      <c r="C29" s="3">
        <f t="shared" si="12"/>
        <v>37</v>
      </c>
      <c r="D29" s="5">
        <f t="shared" si="13"/>
        <v>0</v>
      </c>
      <c r="E29" s="3">
        <f t="shared" si="14"/>
        <v>2</v>
      </c>
      <c r="F29" s="3">
        <f t="shared" si="15"/>
        <v>7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  <c r="BN29" s="3" t="s">
        <v>44</v>
      </c>
      <c r="BO29" s="3" t="s">
        <v>44</v>
      </c>
      <c r="BP29" s="3" t="s">
        <v>44</v>
      </c>
      <c r="BQ29" s="3" t="s">
        <v>7</v>
      </c>
      <c r="BR29" s="3" t="s">
        <v>7</v>
      </c>
      <c r="BS29" s="3" t="s">
        <v>7</v>
      </c>
      <c r="BT29" s="3" t="s">
        <v>7</v>
      </c>
      <c r="BU29" s="3" t="s">
        <v>18</v>
      </c>
      <c r="BV29" s="3" t="s">
        <v>7</v>
      </c>
      <c r="BW29" s="3" t="s">
        <v>7</v>
      </c>
      <c r="BX29" s="3" t="s">
        <v>7</v>
      </c>
      <c r="BY29" s="3" t="s">
        <v>7</v>
      </c>
      <c r="BZ29" s="3" t="s">
        <v>7</v>
      </c>
    </row>
    <row r="30" spans="1:78" x14ac:dyDescent="0.2">
      <c r="A30" t="s">
        <v>49</v>
      </c>
      <c r="B30" s="3">
        <f t="shared" ref="B30" si="20">COUNTA(K30:VR30)</f>
        <v>46</v>
      </c>
      <c r="C30" s="3">
        <f t="shared" ref="C30" si="21">COUNTIF(K30:VR30,"P")</f>
        <v>20</v>
      </c>
      <c r="D30" s="5">
        <f t="shared" ref="D30" si="22">COUNTIF(K30:VR30,"REP")</f>
        <v>1</v>
      </c>
      <c r="E30" s="3">
        <f t="shared" ref="E30" si="23">COUNTIF(K30:VS30,"A")</f>
        <v>0</v>
      </c>
      <c r="F30" s="3">
        <f t="shared" ref="F30" si="24">COUNTIF(K30:VT30,"B")</f>
        <v>14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11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20</v>
      </c>
      <c r="BM30" s="3" t="s">
        <v>20</v>
      </c>
      <c r="BN30" s="3" t="s">
        <v>20</v>
      </c>
      <c r="BO30" s="3" t="s">
        <v>20</v>
      </c>
      <c r="BP30" s="3" t="s">
        <v>20</v>
      </c>
      <c r="BQ30" s="3" t="s">
        <v>7</v>
      </c>
      <c r="BR30" s="3" t="s">
        <v>7</v>
      </c>
      <c r="BS30" s="3" t="s">
        <v>47</v>
      </c>
      <c r="BT30" s="3" t="s">
        <v>7</v>
      </c>
      <c r="BU30" s="3" t="s">
        <v>7</v>
      </c>
      <c r="BV30" s="3" t="s">
        <v>7</v>
      </c>
      <c r="BW30" s="3" t="s">
        <v>7</v>
      </c>
      <c r="BX30" s="3" t="s">
        <v>7</v>
      </c>
      <c r="BY30" s="3" t="s">
        <v>7</v>
      </c>
      <c r="BZ30" s="3" t="s">
        <v>7</v>
      </c>
    </row>
    <row r="31" spans="1:78" x14ac:dyDescent="0.2">
      <c r="A31" t="s">
        <v>52</v>
      </c>
      <c r="B31" s="3">
        <f t="shared" ref="B31" si="29">COUNTA(K31:VR31)</f>
        <v>46</v>
      </c>
      <c r="C31" s="3">
        <f t="shared" ref="C31" si="30">COUNTIF(K31:VR31,"P")</f>
        <v>35</v>
      </c>
      <c r="D31" s="5">
        <f t="shared" ref="D31" si="31">COUNTIF(K31:VR31,"REP")</f>
        <v>0</v>
      </c>
      <c r="E31" s="3">
        <f t="shared" ref="E31" si="32">COUNTIF(K31:VS31,"A")</f>
        <v>6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  <c r="BN31" s="3" t="s">
        <v>7</v>
      </c>
      <c r="BO31" s="3" t="s">
        <v>7</v>
      </c>
      <c r="BP31" s="3" t="s">
        <v>7</v>
      </c>
      <c r="BQ31" s="3" t="s">
        <v>7</v>
      </c>
      <c r="BR31" s="3" t="s">
        <v>7</v>
      </c>
      <c r="BS31" s="3" t="s">
        <v>7</v>
      </c>
      <c r="BT31" s="3" t="s">
        <v>7</v>
      </c>
      <c r="BU31" s="3" t="s">
        <v>18</v>
      </c>
      <c r="BV31" s="3" t="s">
        <v>18</v>
      </c>
      <c r="BW31" s="3" t="s">
        <v>18</v>
      </c>
      <c r="BX31" s="3" t="s">
        <v>18</v>
      </c>
      <c r="BY31" s="3" t="s">
        <v>18</v>
      </c>
      <c r="BZ31" s="3" t="s">
        <v>18</v>
      </c>
    </row>
    <row r="32" spans="1:78" x14ac:dyDescent="0.2">
      <c r="A32" t="s">
        <v>53</v>
      </c>
      <c r="B32" s="3">
        <f t="shared" ref="B32" si="38">COUNTA(K32:VR32)</f>
        <v>19</v>
      </c>
      <c r="C32" s="3">
        <f t="shared" ref="C32" si="39">COUNTIF(K32:VR32,"P")</f>
        <v>19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  <c r="BN32" s="3" t="s">
        <v>7</v>
      </c>
      <c r="BO32" s="3" t="s">
        <v>7</v>
      </c>
      <c r="BP32" s="3" t="s">
        <v>7</v>
      </c>
      <c r="BQ32" s="3" t="s">
        <v>7</v>
      </c>
      <c r="BR32" s="3" t="s">
        <v>7</v>
      </c>
      <c r="BS32" s="3" t="s">
        <v>7</v>
      </c>
      <c r="BT32" s="3" t="s">
        <v>7</v>
      </c>
      <c r="BU32" s="3" t="s">
        <v>7</v>
      </c>
      <c r="BV32" s="3" t="s">
        <v>7</v>
      </c>
      <c r="BW32" s="3" t="s">
        <v>7</v>
      </c>
      <c r="BX32" s="3" t="s">
        <v>7</v>
      </c>
      <c r="BY32" s="3" t="s">
        <v>7</v>
      </c>
      <c r="BZ32" s="3" t="s">
        <v>7</v>
      </c>
    </row>
    <row r="33" spans="1:78" x14ac:dyDescent="0.2">
      <c r="A33" t="s">
        <v>54</v>
      </c>
      <c r="BR33" s="3" t="s">
        <v>7</v>
      </c>
      <c r="BS33" s="3" t="s">
        <v>7</v>
      </c>
      <c r="BT33" s="3" t="s">
        <v>7</v>
      </c>
      <c r="BU33" s="3" t="s">
        <v>7</v>
      </c>
      <c r="BV33" s="3" t="s">
        <v>7</v>
      </c>
      <c r="BW33" s="3" t="s">
        <v>7</v>
      </c>
      <c r="BX33" s="3" t="s">
        <v>7</v>
      </c>
      <c r="BY33" s="3" t="s">
        <v>7</v>
      </c>
      <c r="BZ33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2026-10-28T08:02:55Z</dcterms:modified>
</cp:coreProperties>
</file>