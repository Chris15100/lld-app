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D82A4C54-F348-B14B-8144-A1E3EEB93E91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<sst xmlns="http://schemas.openxmlformats.org/spreadsheetml/2006/main" count="661" uniqueCount="50">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</sst>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AG32"/>
  <sheetViews>
    <sheetView tabSelected="1" workbookViewId="0">
      <pane xSplit="1" topLeftCell="AF1" activePane="topRight" state="frozen"/>
      <selection pane="topRight" activeCell="AG30" sqref="AG30"/>
    </sheetView>
  </sheetViews>
  <sheetFormatPr baseColWidth="10" defaultRowHeight="16" x14ac:dyDescent="0.2"/>
  <cols>
    <col min="1" max="1" width="17.1640625" customWidth="1"/>
  </cols>
  <sheetData>
    <row r="1" spans="1:33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</row>
    <row r="2" spans="1:33" x14ac:dyDescent="0.2">
      <c r="A2" t="s">
        <v>9</v>
      </c>
      <c r="B2" s="3">
        <f>COUNTA(K2:VR2)</f>
        <v>23</v>
      </c>
      <c r="C2" s="3">
        <f>COUNTIF(K2:VR2,"P")</f>
        <v>7</v>
      </c>
      <c r="D2" s="5">
        <f>COUNTIF(K2:VR2,"REP")</f>
        <v>0</v>
      </c>
      <c r="E2" s="3">
        <f t="shared" ref="E2:E26" si="0">COUNTIF(K2:VS2,"A")</f>
        <v>3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</row>
    <row r="3" spans="1:33" x14ac:dyDescent="0.2">
      <c r="A3" t="s">
        <v>10</v>
      </c>
      <c r="B3" s="3">
        <f t="shared" ref="B3:B21" si="2">COUNTA(K3:VR3)</f>
        <v>23</v>
      </c>
      <c r="C3" s="3">
        <f t="shared" ref="C3:C21" si="3">COUNTIF(K3:VR3,"P")</f>
        <v>8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</row>
    <row r="4" spans="1:33" x14ac:dyDescent="0.2">
      <c r="A4" t="s">
        <v>24</v>
      </c>
      <c r="B4" s="3">
        <f t="shared" si="2"/>
        <v>23</v>
      </c>
      <c r="C4" s="3">
        <f t="shared" si="3"/>
        <v>23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</row>
    <row r="5" spans="1:33" x14ac:dyDescent="0.2">
      <c r="A5" t="s">
        <v>11</v>
      </c>
      <c r="B5" s="3">
        <f t="shared" si="2"/>
        <v>23</v>
      </c>
      <c r="C5" s="3">
        <f t="shared" si="3"/>
        <v>22</v>
      </c>
      <c r="D5" s="5">
        <f t="shared" si="4"/>
        <v>1</v>
      </c>
      <c r="E5" s="3">
        <f t="shared" si="0"/>
        <v>0</v>
      </c>
      <c r="F5" s="3">
        <f t="shared" si="1"/>
        <v>0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</row>
    <row r="6" spans="1:33" x14ac:dyDescent="0.2">
      <c r="A6" t="s">
        <v>25</v>
      </c>
      <c r="B6" s="3">
        <f t="shared" si="2"/>
        <v>23</v>
      </c>
      <c r="C6" s="3">
        <f t="shared" si="3"/>
        <v>23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</row>
    <row r="7" spans="1:33" x14ac:dyDescent="0.2">
      <c r="A7" t="s">
        <v>26</v>
      </c>
      <c r="B7" s="3">
        <f t="shared" si="2"/>
        <v>23</v>
      </c>
      <c r="C7" s="3">
        <f t="shared" si="3"/>
        <v>15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0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</row>
    <row r="8" spans="1:33" x14ac:dyDescent="0.2">
      <c r="A8" t="s">
        <v>27</v>
      </c>
      <c r="B8" s="3">
        <f t="shared" si="2"/>
        <v>23</v>
      </c>
      <c r="C8" s="3">
        <f t="shared" si="3"/>
        <v>20</v>
      </c>
      <c r="D8" s="5">
        <f t="shared" si="4"/>
        <v>0</v>
      </c>
      <c r="E8" s="3">
        <f t="shared" si="0"/>
        <v>0</v>
      </c>
      <c r="F8" s="3">
        <f t="shared" si="1"/>
        <v>3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</row>
    <row r="9" spans="1:33" x14ac:dyDescent="0.2">
      <c r="A9" t="s">
        <v>17</v>
      </c>
      <c r="B9" s="3">
        <f t="shared" si="2"/>
        <v>23</v>
      </c>
      <c r="C9" s="3">
        <f t="shared" si="3"/>
        <v>21</v>
      </c>
      <c r="D9" s="5">
        <f t="shared" si="4"/>
        <v>0</v>
      </c>
      <c r="E9" s="3">
        <f t="shared" si="0"/>
        <v>0</v>
      </c>
      <c r="F9" s="3">
        <f t="shared" si="1"/>
        <v>2</v>
      </c>
      <c r="G9" s="3">
        <f t="shared" si="5"/>
        <v>0</v>
      </c>
      <c r="H9" s="3">
        <f t="shared" si="6"/>
        <v>0</v>
      </c>
      <c r="I9" s="3">
        <f t="shared" si="7"/>
        <v>0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</row>
    <row r="10" spans="1:33" x14ac:dyDescent="0.2">
      <c r="A10" t="s">
        <v>28</v>
      </c>
      <c r="B10" s="3">
        <f t="shared" si="2"/>
        <v>23</v>
      </c>
      <c r="C10" s="3">
        <f t="shared" si="3"/>
        <v>21</v>
      </c>
      <c r="D10" s="5">
        <f t="shared" si="4"/>
        <v>0</v>
      </c>
      <c r="E10" s="3">
        <f t="shared" si="0"/>
        <v>0</v>
      </c>
      <c r="F10" s="3">
        <f t="shared" si="1"/>
        <v>2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</row>
    <row r="11" spans="1:33" x14ac:dyDescent="0.2">
      <c r="A11" t="s">
        <v>12</v>
      </c>
      <c r="B11" s="3">
        <f t="shared" si="2"/>
        <v>23</v>
      </c>
      <c r="C11" s="3">
        <f t="shared" si="3"/>
        <v>23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</row>
    <row r="12" spans="1:33" x14ac:dyDescent="0.2">
      <c r="A12" t="s">
        <v>13</v>
      </c>
      <c r="B12" s="3">
        <f t="shared" si="2"/>
        <v>23</v>
      </c>
      <c r="C12" s="3">
        <f t="shared" si="3"/>
        <v>18</v>
      </c>
      <c r="D12" s="5">
        <f t="shared" si="4"/>
        <v>0</v>
      </c>
      <c r="E12" s="3">
        <f t="shared" si="0"/>
        <v>0</v>
      </c>
      <c r="F12" s="3">
        <f t="shared" si="1"/>
        <v>3</v>
      </c>
      <c r="G12" s="3">
        <f t="shared" si="5"/>
        <v>0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</row>
    <row r="13" spans="1:33" x14ac:dyDescent="0.2">
      <c r="A13" t="s">
        <v>23</v>
      </c>
      <c r="B13" s="3">
        <f t="shared" si="2"/>
        <v>23</v>
      </c>
      <c r="C13" s="3">
        <f t="shared" si="3"/>
        <v>23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</row>
    <row r="14" spans="1:33" x14ac:dyDescent="0.2">
      <c r="A14" t="s">
        <v>14</v>
      </c>
      <c r="B14" s="3">
        <f t="shared" si="2"/>
        <v>23</v>
      </c>
      <c r="C14" s="3">
        <f t="shared" si="3"/>
        <v>20</v>
      </c>
      <c r="D14" s="5">
        <f t="shared" si="4"/>
        <v>0</v>
      </c>
      <c r="E14" s="3">
        <f t="shared" si="0"/>
        <v>0</v>
      </c>
      <c r="F14" s="3">
        <f t="shared" si="1"/>
        <v>3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</row>
    <row r="15" spans="1:33" x14ac:dyDescent="0.2">
      <c r="A15" t="s">
        <v>29</v>
      </c>
      <c r="B15" s="3">
        <f t="shared" si="2"/>
        <v>23</v>
      </c>
      <c r="C15" s="3">
        <f t="shared" si="3"/>
        <v>23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0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</row>
    <row r="16" spans="1:33" x14ac:dyDescent="0.2">
      <c r="A16" t="s">
        <v>30</v>
      </c>
      <c r="B16" s="3">
        <f t="shared" si="2"/>
        <v>23</v>
      </c>
      <c r="C16" s="3">
        <f t="shared" si="3"/>
        <v>18</v>
      </c>
      <c r="D16" s="5">
        <f t="shared" si="4"/>
        <v>0</v>
      </c>
      <c r="E16" s="3">
        <f t="shared" si="0"/>
        <v>5</v>
      </c>
      <c r="F16" s="3">
        <f t="shared" si="1"/>
        <v>0</v>
      </c>
      <c r="G16" s="3">
        <f t="shared" si="5"/>
        <v>0</v>
      </c>
      <c r="H16" s="3">
        <f t="shared" si="6"/>
        <v>0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</row>
    <row r="17" spans="1:33" x14ac:dyDescent="0.2">
      <c r="A17" t="s">
        <v>31</v>
      </c>
      <c r="B17" s="3">
        <f t="shared" si="2"/>
        <v>23</v>
      </c>
      <c r="C17" s="3">
        <f t="shared" si="3"/>
        <v>23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</row>
    <row r="18" spans="1:33" x14ac:dyDescent="0.2">
      <c r="A18" t="s">
        <v>21</v>
      </c>
      <c r="B18" s="3">
        <f t="shared" si="2"/>
        <v>23</v>
      </c>
      <c r="C18" s="3">
        <f t="shared" si="3"/>
        <v>20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</row>
    <row r="19" spans="1:33" x14ac:dyDescent="0.2">
      <c r="A19" t="s">
        <v>16</v>
      </c>
      <c r="B19" s="3">
        <f t="shared" si="2"/>
        <v>23</v>
      </c>
      <c r="C19" s="3">
        <f t="shared" si="3"/>
        <v>23</v>
      </c>
      <c r="D19" s="5">
        <f t="shared" si="4"/>
        <v>0</v>
      </c>
      <c r="E19" s="3">
        <f t="shared" si="0"/>
        <v>0</v>
      </c>
      <c r="F19" s="3">
        <f t="shared" si="1"/>
        <v>0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</row>
    <row r="20" spans="1:33" x14ac:dyDescent="0.2">
      <c r="A20" t="s">
        <v>37</v>
      </c>
      <c r="B20" s="3">
        <f t="shared" si="2"/>
        <v>23</v>
      </c>
      <c r="C20" s="3">
        <f t="shared" si="3"/>
        <v>19</v>
      </c>
      <c r="D20" s="5">
        <f t="shared" si="4"/>
        <v>0</v>
      </c>
      <c r="E20" s="3">
        <f t="shared" si="0"/>
        <v>3</v>
      </c>
      <c r="F20" s="3">
        <f t="shared" si="1"/>
        <v>1</v>
      </c>
      <c r="G20" s="3">
        <f t="shared" si="5"/>
        <v>0</v>
      </c>
      <c r="H20" s="3">
        <f t="shared" si="6"/>
        <v>0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</row>
    <row r="21" spans="1:33" x14ac:dyDescent="0.2">
      <c r="A21" t="s">
        <v>32</v>
      </c>
      <c r="B21" s="3">
        <f t="shared" si="2"/>
        <v>23</v>
      </c>
      <c r="C21" s="3">
        <f t="shared" si="3"/>
        <v>23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0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</row>
    <row r="22" spans="1:33" x14ac:dyDescent="0.2">
      <c r="A22" t="s">
        <v>33</v>
      </c>
      <c r="B22" s="3">
        <f t="shared" ref="B22:B26" si="9">COUNTA(K22:VR22)</f>
        <v>23</v>
      </c>
      <c r="C22" s="3">
        <f t="shared" ref="C22:C26" si="10">COUNTIF(K22:VR22,"P")</f>
        <v>23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0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</row>
    <row r="23" spans="1:33" x14ac:dyDescent="0.2">
      <c r="A23" t="s">
        <v>34</v>
      </c>
      <c r="B23" s="3">
        <f t="shared" si="9"/>
        <v>23</v>
      </c>
      <c r="C23" s="3">
        <f t="shared" si="10"/>
        <v>21</v>
      </c>
      <c r="D23" s="5">
        <f t="shared" si="4"/>
        <v>0</v>
      </c>
      <c r="E23" s="3">
        <f t="shared" si="0"/>
        <v>2</v>
      </c>
      <c r="F23" s="3">
        <f t="shared" si="1"/>
        <v>0</v>
      </c>
      <c r="G23" s="3">
        <f t="shared" si="5"/>
        <v>0</v>
      </c>
      <c r="H23" s="3">
        <f t="shared" si="6"/>
        <v>0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</row>
    <row r="24" spans="1:33" x14ac:dyDescent="0.2">
      <c r="A24" t="s">
        <v>36</v>
      </c>
      <c r="B24" s="3">
        <f t="shared" si="9"/>
        <v>23</v>
      </c>
      <c r="C24" s="3">
        <f t="shared" si="10"/>
        <v>22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</row>
    <row r="25" spans="1:33" x14ac:dyDescent="0.2">
      <c r="A25" t="s">
        <v>35</v>
      </c>
      <c r="B25" s="3">
        <f t="shared" si="9"/>
        <v>23</v>
      </c>
      <c r="C25" s="3">
        <f t="shared" si="10"/>
        <v>20</v>
      </c>
      <c r="D25" s="5">
        <f t="shared" si="4"/>
        <v>0</v>
      </c>
      <c r="E25" s="3">
        <f t="shared" si="0"/>
        <v>2</v>
      </c>
      <c r="F25" s="3">
        <f t="shared" si="1"/>
        <v>1</v>
      </c>
      <c r="G25" s="3">
        <f t="shared" si="5"/>
        <v>0</v>
      </c>
      <c r="H25" s="3">
        <f t="shared" si="6"/>
        <v>0</v>
      </c>
      <c r="I25" s="3">
        <f t="shared" si="7"/>
        <v>0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</row>
    <row r="26" spans="1:33" x14ac:dyDescent="0.2">
      <c r="A26" t="s">
        <v>15</v>
      </c>
      <c r="B26" s="3">
        <f t="shared" si="9"/>
        <v>23</v>
      </c>
      <c r="C26" s="3">
        <f t="shared" si="10"/>
        <v>12</v>
      </c>
      <c r="D26" s="5">
        <f t="shared" si="4"/>
        <v>0</v>
      </c>
      <c r="E26" s="3">
        <f t="shared" si="0"/>
        <v>0</v>
      </c>
      <c r="F26" s="3">
        <f t="shared" si="1"/>
        <v>11</v>
      </c>
      <c r="G26" s="3">
        <f t="shared" si="5"/>
        <v>0</v>
      </c>
      <c r="H26" s="3">
        <f t="shared" si="6"/>
        <v>0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</row>
    <row r="27" spans="1:33" x14ac:dyDescent="0.2">
      <c r="A27" t="s">
        <v>38</v>
      </c>
      <c r="B27" s="3">
        <f t="shared" ref="B27:B29" si="11">COUNTA(K27:VR27)</f>
        <v>20</v>
      </c>
      <c r="C27" s="3">
        <f t="shared" ref="C27:C29" si="12">COUNTIF(K27:VR27,"P")</f>
        <v>20</v>
      </c>
      <c r="D27" s="5">
        <f t="shared" ref="D27:D29" si="13">COUNTIF(K27:VR27,"REP")</f>
        <v>0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</row>
    <row r="28" spans="1:33" x14ac:dyDescent="0.2">
      <c r="A28" t="s">
        <v>39</v>
      </c>
      <c r="B28" s="3">
        <f t="shared" si="11"/>
        <v>19</v>
      </c>
      <c r="C28" s="3">
        <f t="shared" si="12"/>
        <v>19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</row>
    <row r="29" spans="1:33" x14ac:dyDescent="0.2">
      <c r="A29" t="s">
        <v>48</v>
      </c>
      <c r="B29" s="3">
        <f t="shared" si="11"/>
        <v>1</v>
      </c>
      <c r="C29" s="3">
        <f t="shared" si="12"/>
        <v>0</v>
      </c>
      <c r="D29" s="5">
        <f t="shared" si="13"/>
        <v>0</v>
      </c>
      <c r="E29" s="3">
        <f t="shared" si="14"/>
        <v>0</v>
      </c>
      <c r="F29" s="3">
        <f t="shared" si="15"/>
        <v>1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</row>
    <row r="30" spans="1:33" x14ac:dyDescent="0.2">
      <c r="A30" t="s">
        <v>49</v>
      </c>
      <c r="B30" s="3">
        <f t="shared" ref="B30" si="20">COUNTA(K30:VR30)</f>
        <v>1</v>
      </c>
      <c r="C30" s="3">
        <f t="shared" ref="C30" si="21">COUNTIF(K30:VR30,"P")</f>
        <v>0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1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0</v>
      </c>
      <c r="J30" s="3">
        <f t="shared" ref="J30" si="28">COUNTIF(K30:VW30,"S")</f>
        <v>0</v>
      </c>
      <c r="AG30" s="3" t="s">
        <v>44</v>
      </c>
    </row>
    <row r="31" spans="1:33" x14ac:dyDescent="0.2">
      <c r="B31" s="3">
        <f t="shared" ref="B31" si="29">COUNTA(K31:VR31)</f>
        <v>0</v>
      </c>
      <c r="C31" s="3">
        <f t="shared" ref="C31" si="30">COUNTIF(K31:VR31,"P")</f>
        <v>0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0</v>
      </c>
      <c r="I31" s="3">
        <f t="shared" ref="I31" si="36">COUNTIF(K31:VW31,"RH")</f>
        <v>0</v>
      </c>
      <c r="J31" s="3">
        <f t="shared" ref="J31" si="37">COUNTIF(K31:VW31,"S")</f>
        <v>0</v>
      </c>
    </row>
    <row r="32" spans="1:33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2026-08-18T14:38:52Z</dcterms:modified>
</cp:coreProperties>
</file>