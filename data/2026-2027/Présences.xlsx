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2026-2027/"/>
    </mc:Choice>
  </mc:AlternateContent>
  <xr:revisionPtr revIDLastSave="0" documentId="13_ncr:1_{33202625-8DDA-CE43-AF76-2A082F6760E3}" xr6:coauthVersionLast="47" xr6:coauthVersionMax="47" xr10:uidLastSave="{00000000-0000-0000-0000-000000000000}"/>
  <bookViews>
    <workbookView xWindow="0" yWindow="500" windowWidth="28800" windowHeight="16360" xr2:uid="{2EF0EE96-8EE0-C649-8161-B8679CB6F342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2" i="1" l="1"/>
  <c r="C32" i="1"/>
  <c r="D32" i="1"/>
  <c r="E32" i="1"/>
  <c r="F32" i="1"/>
  <c r="G32" i="1"/>
  <c r="H32" i="1"/>
  <c r="I32" i="1"/>
  <c r="J32" i="1"/>
  <c r="B31" i="1"/>
  <c r="C31" i="1"/>
  <c r="D31" i="1"/>
  <c r="E31" i="1"/>
  <c r="F31" i="1"/>
  <c r="G31" i="1"/>
  <c r="H31" i="1"/>
  <c r="I31" i="1"/>
  <c r="J31" i="1"/>
  <c r="B30" i="1"/>
  <c r="C30" i="1"/>
  <c r="D30" i="1"/>
  <c r="E30" i="1"/>
  <c r="F30" i="1"/>
  <c r="G30" i="1"/>
  <c r="H30" i="1"/>
  <c r="I30" i="1"/>
  <c r="J30" i="1"/>
  <c r="B27" i="1"/>
  <c r="C27" i="1"/>
  <c r="D27" i="1"/>
  <c r="E27" i="1"/>
  <c r="F27" i="1"/>
  <c r="G27" i="1"/>
  <c r="H27" i="1"/>
  <c r="I27" i="1"/>
  <c r="J27" i="1"/>
  <c r="B28" i="1"/>
  <c r="C28" i="1"/>
  <c r="D28" i="1"/>
  <c r="E28" i="1"/>
  <c r="F28" i="1"/>
  <c r="G28" i="1"/>
  <c r="H28" i="1"/>
  <c r="I28" i="1"/>
  <c r="J28" i="1"/>
  <c r="B29" i="1"/>
  <c r="C29" i="1"/>
  <c r="D29" i="1"/>
  <c r="E29" i="1"/>
  <c r="F29" i="1"/>
  <c r="G29" i="1"/>
  <c r="H29" i="1"/>
  <c r="I29" i="1"/>
  <c r="J29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  <c r="C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" i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" i="1"/>
  <c r="F3" i="1"/>
  <c r="F4" i="1"/>
  <c r="F5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" i="1"/>
  <c r="E3" i="1"/>
  <c r="E4" i="1"/>
  <c r="E5" i="1"/>
  <c r="E6" i="1"/>
  <c r="E7" i="1"/>
  <c r="B22" i="1"/>
  <c r="C22" i="1"/>
  <c r="B23" i="1"/>
  <c r="C23" i="1"/>
  <c r="B24" i="1"/>
  <c r="C24" i="1"/>
  <c r="B25" i="1"/>
  <c r="C25" i="1"/>
  <c r="B26" i="1"/>
  <c r="C26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" i="1"/>
</calcChain>
</file>

<file path=xl/sharedStrings.xml><?xml version="1.0" encoding="utf-8"?>
<sst xmlns="http://schemas.openxmlformats.org/spreadsheetml/2006/main" count="61" uniqueCount="39">
  <si>
    <t>Nom du joueur</t>
  </si>
  <si>
    <t xml:space="preserve"> Présences</t>
  </si>
  <si>
    <t>Absences</t>
  </si>
  <si>
    <t>Blessures</t>
  </si>
  <si>
    <t>Réserve</t>
  </si>
  <si>
    <t>Sélections</t>
  </si>
  <si>
    <t>Malade</t>
  </si>
  <si>
    <t>P</t>
  </si>
  <si>
    <t>Nombre entrainements total</t>
  </si>
  <si>
    <t>Alban Rambaud</t>
  </si>
  <si>
    <t>Jassim Assoul</t>
  </si>
  <si>
    <t>Amine Taiar</t>
  </si>
  <si>
    <t>Mattheo Haon</t>
  </si>
  <si>
    <t>Levy Ndoutoume</t>
  </si>
  <si>
    <t>Ilan Ihaddadene</t>
  </si>
  <si>
    <t>Karahali Souaré</t>
  </si>
  <si>
    <t>Emmanuel Valey</t>
  </si>
  <si>
    <t>Yoan Zouma</t>
  </si>
  <si>
    <t>A</t>
  </si>
  <si>
    <t>Réathlé</t>
  </si>
  <si>
    <t>RH</t>
  </si>
  <si>
    <t>Omar Benyounes</t>
  </si>
  <si>
    <t>Repos</t>
  </si>
  <si>
    <t>Theo Owono</t>
  </si>
  <si>
    <t>Ismaïla Doucouré</t>
  </si>
  <si>
    <t>Ryad Kralladi</t>
  </si>
  <si>
    <t>Yassine Toubal</t>
  </si>
  <si>
    <t>Malik Peisson</t>
  </si>
  <si>
    <t>Samy Achour</t>
  </si>
  <si>
    <t>Fares Snoussi</t>
  </si>
  <si>
    <t>Gibril Djahl</t>
  </si>
  <si>
    <t>Sandro Marcon</t>
  </si>
  <si>
    <t xml:space="preserve">Bradley </t>
  </si>
  <si>
    <t>Pharell Cafara</t>
  </si>
  <si>
    <t>Heikel Machfar</t>
  </si>
  <si>
    <t>Ismail Mediouna</t>
  </si>
  <si>
    <t>Donald Onana</t>
  </si>
  <si>
    <t>Brady</t>
  </si>
  <si>
    <t>Fares Farhi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</si>
</sst>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 vertical="center"/>
    </xf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66E353-69CC-CA42-AE0E-F860DC308060}">
  <dimension ref="A1:K32"/>
  <sheetViews>
    <sheetView tabSelected="1" workbookViewId="0">
      <pane xSplit="1" topLeftCell="J1" activePane="topRight" state="frozen"/>
      <selection pane="topRight" activeCell="O26" sqref="O26"/>
    </sheetView>
  </sheetViews>
  <sheetFormatPr baseColWidth="10" defaultRowHeight="16" x14ac:dyDescent="0.2"/>
  <cols>
    <col min="1" max="1" width="17.1640625" customWidth="1"/>
  </cols>
  <sheetData>
    <row r="1" spans="1:11" ht="51" x14ac:dyDescent="0.2">
      <c r="A1" s="1" t="s">
        <v>0</v>
      </c>
      <c r="B1" s="1" t="s">
        <v>8</v>
      </c>
      <c r="C1" s="1" t="s">
        <v>1</v>
      </c>
      <c r="D1" s="1" t="s">
        <v>22</v>
      </c>
      <c r="E1" s="1" t="s">
        <v>2</v>
      </c>
      <c r="F1" s="2" t="s">
        <v>3</v>
      </c>
      <c r="G1" s="2" t="s">
        <v>6</v>
      </c>
      <c r="H1" s="2" t="s">
        <v>4</v>
      </c>
      <c r="I1" s="2" t="s">
        <v>19</v>
      </c>
      <c r="J1" s="2" t="s">
        <v>5</v>
      </c>
      <c r="K1" s="4">
        <v>46216</v>
      </c>
    </row>
    <row r="2" spans="1:11" x14ac:dyDescent="0.2">
      <c r="A2" t="s">
        <v>9</v>
      </c>
      <c r="B2" s="3">
        <f>COUNTA(K2:VR2)</f>
        <v>1</v>
      </c>
      <c r="C2" s="3">
        <f>COUNTIF(K2:VR2,"P")</f>
        <v>0</v>
      </c>
      <c r="D2" s="5">
        <f>COUNTIF(K2:VR2,"REP")</f>
        <v>0</v>
      </c>
      <c r="E2" s="3">
        <f t="shared" ref="E2:E26" si="0">COUNTIF(K2:VS2,"A")</f>
        <v>0</v>
      </c>
      <c r="F2" s="3">
        <f t="shared" ref="F2:F26" si="1">COUNTIF(K2:VT2,"B")</f>
        <v>0</v>
      </c>
      <c r="G2" s="3">
        <f>COUNTIF(K2:VU2,"M")</f>
        <v>0</v>
      </c>
      <c r="H2" s="3">
        <f>COUNTIF(K2:VV2,"R")</f>
        <v>0</v>
      </c>
      <c r="I2" s="3">
        <f>COUNTIF(K2:VW2,"RH")</f>
        <v>1</v>
      </c>
      <c r="J2" s="3">
        <f>COUNTIF(K2:VW2,"S")</f>
        <v>0</v>
      </c>
      <c r="K2" s="3" t="s">
        <v>20</v>
      </c>
    </row>
    <row r="3" spans="1:11" x14ac:dyDescent="0.2">
      <c r="A3" t="s">
        <v>10</v>
      </c>
      <c r="B3" s="3">
        <f t="shared" ref="B3:B21" si="2">COUNTA(K3:VR3)</f>
        <v>1</v>
      </c>
      <c r="C3" s="3">
        <f t="shared" ref="C3:C21" si="3">COUNTIF(K3:VR3,"P")</f>
        <v>1</v>
      </c>
      <c r="D3" s="5">
        <f t="shared" ref="D3:D26" si="4">COUNTIF(K3:VR3,"REP")</f>
        <v>0</v>
      </c>
      <c r="E3" s="3">
        <f t="shared" si="0"/>
        <v>0</v>
      </c>
      <c r="F3" s="3">
        <f t="shared" si="1"/>
        <v>0</v>
      </c>
      <c r="G3" s="3">
        <f t="shared" ref="G3:G26" si="5">COUNTIF(K3:VU3,"M")</f>
        <v>0</v>
      </c>
      <c r="H3" s="3">
        <f t="shared" ref="H3:H26" si="6">COUNTIF(K3:VV3,"R")</f>
        <v>0</v>
      </c>
      <c r="I3" s="3">
        <f t="shared" ref="I3:I26" si="7">COUNTIF(K3:VW3,"RH")</f>
        <v>0</v>
      </c>
      <c r="J3" s="3">
        <f t="shared" ref="J3:J26" si="8">COUNTIF(K3:VW3,"S")</f>
        <v>0</v>
      </c>
      <c r="K3" s="3" t="s">
        <v>7</v>
      </c>
    </row>
    <row r="4" spans="1:11" x14ac:dyDescent="0.2">
      <c r="A4" t="s">
        <v>24</v>
      </c>
      <c r="B4" s="3">
        <f t="shared" si="2"/>
        <v>1</v>
      </c>
      <c r="C4" s="3">
        <f t="shared" si="3"/>
        <v>1</v>
      </c>
      <c r="D4" s="5">
        <f t="shared" si="4"/>
        <v>0</v>
      </c>
      <c r="E4" s="3">
        <f t="shared" si="0"/>
        <v>0</v>
      </c>
      <c r="F4" s="3">
        <f t="shared" si="1"/>
        <v>0</v>
      </c>
      <c r="G4" s="3">
        <f t="shared" si="5"/>
        <v>0</v>
      </c>
      <c r="H4" s="3">
        <f t="shared" si="6"/>
        <v>0</v>
      </c>
      <c r="I4" s="3">
        <f t="shared" si="7"/>
        <v>0</v>
      </c>
      <c r="J4" s="3">
        <f t="shared" si="8"/>
        <v>0</v>
      </c>
      <c r="K4" s="3" t="s">
        <v>7</v>
      </c>
    </row>
    <row r="5" spans="1:11" x14ac:dyDescent="0.2">
      <c r="A5" t="s">
        <v>11</v>
      </c>
      <c r="B5" s="3">
        <f t="shared" si="2"/>
        <v>1</v>
      </c>
      <c r="C5" s="3">
        <f t="shared" si="3"/>
        <v>1</v>
      </c>
      <c r="D5" s="5">
        <f t="shared" si="4"/>
        <v>0</v>
      </c>
      <c r="E5" s="3">
        <f t="shared" si="0"/>
        <v>0</v>
      </c>
      <c r="F5" s="3">
        <f t="shared" si="1"/>
        <v>0</v>
      </c>
      <c r="G5" s="3">
        <f t="shared" si="5"/>
        <v>0</v>
      </c>
      <c r="H5" s="3">
        <f t="shared" si="6"/>
        <v>0</v>
      </c>
      <c r="I5" s="3">
        <f t="shared" si="7"/>
        <v>0</v>
      </c>
      <c r="J5" s="3">
        <f t="shared" si="8"/>
        <v>0</v>
      </c>
      <c r="K5" s="3" t="s">
        <v>7</v>
      </c>
    </row>
    <row r="6" spans="1:11" x14ac:dyDescent="0.2">
      <c r="A6" t="s">
        <v>25</v>
      </c>
      <c r="B6" s="3">
        <f t="shared" si="2"/>
        <v>1</v>
      </c>
      <c r="C6" s="3">
        <f t="shared" si="3"/>
        <v>1</v>
      </c>
      <c r="D6" s="5">
        <f t="shared" si="4"/>
        <v>0</v>
      </c>
      <c r="E6" s="3">
        <f t="shared" si="0"/>
        <v>0</v>
      </c>
      <c r="F6" s="3">
        <f>COUNTIF(K6:VT6,"B")</f>
        <v>0</v>
      </c>
      <c r="G6" s="3">
        <f t="shared" si="5"/>
        <v>0</v>
      </c>
      <c r="H6" s="3">
        <f t="shared" si="6"/>
        <v>0</v>
      </c>
      <c r="I6" s="3">
        <f t="shared" si="7"/>
        <v>0</v>
      </c>
      <c r="J6" s="3">
        <f t="shared" si="8"/>
        <v>0</v>
      </c>
      <c r="K6" s="3" t="s">
        <v>7</v>
      </c>
    </row>
    <row r="7" spans="1:11" x14ac:dyDescent="0.2">
      <c r="A7" t="s">
        <v>26</v>
      </c>
      <c r="B7" s="3">
        <f t="shared" si="2"/>
        <v>1</v>
      </c>
      <c r="C7" s="3">
        <f t="shared" si="3"/>
        <v>1</v>
      </c>
      <c r="D7" s="5">
        <f t="shared" si="4"/>
        <v>0</v>
      </c>
      <c r="E7" s="3">
        <f>COUNTIF(K7:VS7,"A")</f>
        <v>0</v>
      </c>
      <c r="F7" s="3">
        <f t="shared" si="1"/>
        <v>0</v>
      </c>
      <c r="G7" s="3">
        <f t="shared" si="5"/>
        <v>0</v>
      </c>
      <c r="H7" s="3">
        <f t="shared" si="6"/>
        <v>0</v>
      </c>
      <c r="I7" s="3">
        <f t="shared" si="7"/>
        <v>0</v>
      </c>
      <c r="J7" s="3">
        <f t="shared" si="8"/>
        <v>0</v>
      </c>
      <c r="K7" s="3" t="s">
        <v>7</v>
      </c>
    </row>
    <row r="8" spans="1:11" x14ac:dyDescent="0.2">
      <c r="A8" t="s">
        <v>27</v>
      </c>
      <c r="B8" s="3">
        <f t="shared" si="2"/>
        <v>1</v>
      </c>
      <c r="C8" s="3">
        <f t="shared" si="3"/>
        <v>1</v>
      </c>
      <c r="D8" s="5">
        <f t="shared" si="4"/>
        <v>0</v>
      </c>
      <c r="E8" s="3">
        <f t="shared" si="0"/>
        <v>0</v>
      </c>
      <c r="F8" s="3">
        <f t="shared" si="1"/>
        <v>0</v>
      </c>
      <c r="G8" s="3">
        <f t="shared" si="5"/>
        <v>0</v>
      </c>
      <c r="H8" s="3">
        <f t="shared" si="6"/>
        <v>0</v>
      </c>
      <c r="I8" s="3">
        <f t="shared" si="7"/>
        <v>0</v>
      </c>
      <c r="J8" s="3">
        <f t="shared" si="8"/>
        <v>0</v>
      </c>
      <c r="K8" s="3" t="s">
        <v>7</v>
      </c>
    </row>
    <row r="9" spans="1:11" x14ac:dyDescent="0.2">
      <c r="A9" t="s">
        <v>17</v>
      </c>
      <c r="B9" s="3">
        <f t="shared" si="2"/>
        <v>1</v>
      </c>
      <c r="C9" s="3">
        <f t="shared" si="3"/>
        <v>1</v>
      </c>
      <c r="D9" s="5">
        <f t="shared" si="4"/>
        <v>0</v>
      </c>
      <c r="E9" s="3">
        <f t="shared" si="0"/>
        <v>0</v>
      </c>
      <c r="F9" s="3">
        <f t="shared" si="1"/>
        <v>0</v>
      </c>
      <c r="G9" s="3">
        <f t="shared" si="5"/>
        <v>0</v>
      </c>
      <c r="H9" s="3">
        <f t="shared" si="6"/>
        <v>0</v>
      </c>
      <c r="I9" s="3">
        <f t="shared" si="7"/>
        <v>0</v>
      </c>
      <c r="J9" s="3">
        <f t="shared" si="8"/>
        <v>0</v>
      </c>
      <c r="K9" s="3" t="s">
        <v>7</v>
      </c>
    </row>
    <row r="10" spans="1:11" x14ac:dyDescent="0.2">
      <c r="A10" t="s">
        <v>28</v>
      </c>
      <c r="B10" s="3">
        <f t="shared" si="2"/>
        <v>1</v>
      </c>
      <c r="C10" s="3">
        <f t="shared" si="3"/>
        <v>1</v>
      </c>
      <c r="D10" s="5">
        <f t="shared" si="4"/>
        <v>0</v>
      </c>
      <c r="E10" s="3">
        <f t="shared" si="0"/>
        <v>0</v>
      </c>
      <c r="F10" s="3">
        <f t="shared" si="1"/>
        <v>0</v>
      </c>
      <c r="G10" s="3">
        <f t="shared" si="5"/>
        <v>0</v>
      </c>
      <c r="H10" s="3">
        <f t="shared" si="6"/>
        <v>0</v>
      </c>
      <c r="I10" s="3">
        <f t="shared" si="7"/>
        <v>0</v>
      </c>
      <c r="J10" s="3">
        <f t="shared" si="8"/>
        <v>0</v>
      </c>
      <c r="K10" s="3" t="s">
        <v>7</v>
      </c>
    </row>
    <row r="11" spans="1:11" x14ac:dyDescent="0.2">
      <c r="A11" t="s">
        <v>12</v>
      </c>
      <c r="B11" s="3">
        <f t="shared" si="2"/>
        <v>1</v>
      </c>
      <c r="C11" s="3">
        <f t="shared" si="3"/>
        <v>1</v>
      </c>
      <c r="D11" s="5">
        <f t="shared" si="4"/>
        <v>0</v>
      </c>
      <c r="E11" s="3">
        <f t="shared" si="0"/>
        <v>0</v>
      </c>
      <c r="F11" s="3">
        <f t="shared" si="1"/>
        <v>0</v>
      </c>
      <c r="G11" s="3">
        <f t="shared" si="5"/>
        <v>0</v>
      </c>
      <c r="H11" s="3">
        <f t="shared" si="6"/>
        <v>0</v>
      </c>
      <c r="I11" s="3">
        <f t="shared" si="7"/>
        <v>0</v>
      </c>
      <c r="J11" s="3">
        <f t="shared" si="8"/>
        <v>0</v>
      </c>
      <c r="K11" s="3" t="s">
        <v>7</v>
      </c>
    </row>
    <row r="12" spans="1:11" x14ac:dyDescent="0.2">
      <c r="A12" t="s">
        <v>13</v>
      </c>
      <c r="B12" s="3">
        <f t="shared" si="2"/>
        <v>1</v>
      </c>
      <c r="C12" s="3">
        <f t="shared" si="3"/>
        <v>1</v>
      </c>
      <c r="D12" s="5">
        <f t="shared" si="4"/>
        <v>0</v>
      </c>
      <c r="E12" s="3">
        <f t="shared" si="0"/>
        <v>0</v>
      </c>
      <c r="F12" s="3">
        <f t="shared" si="1"/>
        <v>0</v>
      </c>
      <c r="G12" s="3">
        <f t="shared" si="5"/>
        <v>0</v>
      </c>
      <c r="H12" s="3">
        <f t="shared" si="6"/>
        <v>0</v>
      </c>
      <c r="I12" s="3">
        <f t="shared" si="7"/>
        <v>0</v>
      </c>
      <c r="J12" s="3">
        <f t="shared" si="8"/>
        <v>0</v>
      </c>
      <c r="K12" s="3" t="s">
        <v>7</v>
      </c>
    </row>
    <row r="13" spans="1:11" x14ac:dyDescent="0.2">
      <c r="A13" t="s">
        <v>23</v>
      </c>
      <c r="B13" s="3">
        <f t="shared" si="2"/>
        <v>1</v>
      </c>
      <c r="C13" s="3">
        <f t="shared" si="3"/>
        <v>1</v>
      </c>
      <c r="D13" s="5">
        <f t="shared" si="4"/>
        <v>0</v>
      </c>
      <c r="E13" s="3">
        <f t="shared" si="0"/>
        <v>0</v>
      </c>
      <c r="F13" s="3">
        <f t="shared" si="1"/>
        <v>0</v>
      </c>
      <c r="G13" s="3">
        <f t="shared" si="5"/>
        <v>0</v>
      </c>
      <c r="H13" s="3">
        <f t="shared" si="6"/>
        <v>0</v>
      </c>
      <c r="I13" s="3">
        <f t="shared" si="7"/>
        <v>0</v>
      </c>
      <c r="J13" s="3">
        <f t="shared" si="8"/>
        <v>0</v>
      </c>
      <c r="K13" s="3" t="s">
        <v>7</v>
      </c>
    </row>
    <row r="14" spans="1:11" x14ac:dyDescent="0.2">
      <c r="A14" t="s">
        <v>14</v>
      </c>
      <c r="B14" s="3">
        <f t="shared" si="2"/>
        <v>1</v>
      </c>
      <c r="C14" s="3">
        <f t="shared" si="3"/>
        <v>1</v>
      </c>
      <c r="D14" s="5">
        <f t="shared" si="4"/>
        <v>0</v>
      </c>
      <c r="E14" s="3">
        <f t="shared" si="0"/>
        <v>0</v>
      </c>
      <c r="F14" s="3">
        <f t="shared" si="1"/>
        <v>0</v>
      </c>
      <c r="G14" s="3">
        <f t="shared" si="5"/>
        <v>0</v>
      </c>
      <c r="H14" s="3">
        <f t="shared" si="6"/>
        <v>0</v>
      </c>
      <c r="I14" s="3">
        <f t="shared" si="7"/>
        <v>0</v>
      </c>
      <c r="J14" s="3">
        <f t="shared" si="8"/>
        <v>0</v>
      </c>
      <c r="K14" s="3" t="s">
        <v>7</v>
      </c>
    </row>
    <row r="15" spans="1:11" x14ac:dyDescent="0.2">
      <c r="A15" t="s">
        <v>29</v>
      </c>
      <c r="B15" s="3">
        <f t="shared" si="2"/>
        <v>1</v>
      </c>
      <c r="C15" s="3">
        <f t="shared" si="3"/>
        <v>1</v>
      </c>
      <c r="D15" s="5">
        <f t="shared" si="4"/>
        <v>0</v>
      </c>
      <c r="E15" s="3">
        <f t="shared" si="0"/>
        <v>0</v>
      </c>
      <c r="F15" s="3">
        <f t="shared" si="1"/>
        <v>0</v>
      </c>
      <c r="G15" s="3">
        <f t="shared" si="5"/>
        <v>0</v>
      </c>
      <c r="H15" s="3">
        <f t="shared" si="6"/>
        <v>0</v>
      </c>
      <c r="I15" s="3">
        <f t="shared" si="7"/>
        <v>0</v>
      </c>
      <c r="J15" s="3">
        <f t="shared" si="8"/>
        <v>0</v>
      </c>
      <c r="K15" s="3" t="s">
        <v>7</v>
      </c>
    </row>
    <row r="16" spans="1:11" x14ac:dyDescent="0.2">
      <c r="A16" t="s">
        <v>30</v>
      </c>
      <c r="B16" s="3">
        <f t="shared" si="2"/>
        <v>1</v>
      </c>
      <c r="C16" s="3">
        <f t="shared" si="3"/>
        <v>1</v>
      </c>
      <c r="D16" s="5">
        <f t="shared" si="4"/>
        <v>0</v>
      </c>
      <c r="E16" s="3">
        <f t="shared" si="0"/>
        <v>0</v>
      </c>
      <c r="F16" s="3">
        <f t="shared" si="1"/>
        <v>0</v>
      </c>
      <c r="G16" s="3">
        <f t="shared" si="5"/>
        <v>0</v>
      </c>
      <c r="H16" s="3">
        <f t="shared" si="6"/>
        <v>0</v>
      </c>
      <c r="I16" s="3">
        <f t="shared" si="7"/>
        <v>0</v>
      </c>
      <c r="J16" s="3">
        <f t="shared" si="8"/>
        <v>0</v>
      </c>
      <c r="K16" s="3" t="s">
        <v>7</v>
      </c>
    </row>
    <row r="17" spans="1:11" x14ac:dyDescent="0.2">
      <c r="A17" t="s">
        <v>31</v>
      </c>
      <c r="B17" s="3">
        <f t="shared" si="2"/>
        <v>1</v>
      </c>
      <c r="C17" s="3">
        <f t="shared" si="3"/>
        <v>1</v>
      </c>
      <c r="D17" s="5">
        <f t="shared" si="4"/>
        <v>0</v>
      </c>
      <c r="E17" s="3">
        <f t="shared" si="0"/>
        <v>0</v>
      </c>
      <c r="F17" s="3">
        <f t="shared" si="1"/>
        <v>0</v>
      </c>
      <c r="G17" s="3">
        <f t="shared" si="5"/>
        <v>0</v>
      </c>
      <c r="H17" s="3">
        <f t="shared" si="6"/>
        <v>0</v>
      </c>
      <c r="I17" s="3">
        <f t="shared" si="7"/>
        <v>0</v>
      </c>
      <c r="J17" s="3">
        <f t="shared" si="8"/>
        <v>0</v>
      </c>
      <c r="K17" s="3" t="s">
        <v>7</v>
      </c>
    </row>
    <row r="18" spans="1:11" x14ac:dyDescent="0.2">
      <c r="A18" t="s">
        <v>21</v>
      </c>
      <c r="B18" s="3">
        <f t="shared" si="2"/>
        <v>1</v>
      </c>
      <c r="C18" s="3">
        <f t="shared" si="3"/>
        <v>1</v>
      </c>
      <c r="D18" s="5">
        <f t="shared" si="4"/>
        <v>0</v>
      </c>
      <c r="E18" s="3">
        <f t="shared" si="0"/>
        <v>0</v>
      </c>
      <c r="F18" s="3">
        <f t="shared" si="1"/>
        <v>0</v>
      </c>
      <c r="G18" s="3">
        <f t="shared" si="5"/>
        <v>0</v>
      </c>
      <c r="H18" s="3">
        <f t="shared" si="6"/>
        <v>0</v>
      </c>
      <c r="I18" s="3">
        <f t="shared" si="7"/>
        <v>0</v>
      </c>
      <c r="J18" s="3">
        <f t="shared" si="8"/>
        <v>0</v>
      </c>
      <c r="K18" s="3" t="s">
        <v>7</v>
      </c>
    </row>
    <row r="19" spans="1:11" x14ac:dyDescent="0.2">
      <c r="A19" t="s">
        <v>16</v>
      </c>
      <c r="B19" s="3">
        <f t="shared" si="2"/>
        <v>1</v>
      </c>
      <c r="C19" s="3">
        <f t="shared" si="3"/>
        <v>1</v>
      </c>
      <c r="D19" s="5">
        <f t="shared" si="4"/>
        <v>0</v>
      </c>
      <c r="E19" s="3">
        <f t="shared" si="0"/>
        <v>0</v>
      </c>
      <c r="F19" s="3">
        <f t="shared" si="1"/>
        <v>0</v>
      </c>
      <c r="G19" s="3">
        <f t="shared" si="5"/>
        <v>0</v>
      </c>
      <c r="H19" s="3">
        <f t="shared" si="6"/>
        <v>0</v>
      </c>
      <c r="I19" s="3">
        <f t="shared" si="7"/>
        <v>0</v>
      </c>
      <c r="J19" s="3">
        <f t="shared" si="8"/>
        <v>0</v>
      </c>
      <c r="K19" s="3" t="s">
        <v>7</v>
      </c>
    </row>
    <row r="20" spans="1:11" x14ac:dyDescent="0.2">
      <c r="A20" t="s">
        <v>32</v>
      </c>
      <c r="B20" s="3">
        <f t="shared" si="2"/>
        <v>0</v>
      </c>
      <c r="C20" s="3">
        <f t="shared" si="3"/>
        <v>0</v>
      </c>
      <c r="D20" s="5">
        <f t="shared" si="4"/>
        <v>0</v>
      </c>
      <c r="E20" s="3">
        <f t="shared" si="0"/>
        <v>0</v>
      </c>
      <c r="F20" s="3">
        <f t="shared" si="1"/>
        <v>0</v>
      </c>
      <c r="G20" s="3">
        <f t="shared" si="5"/>
        <v>0</v>
      </c>
      <c r="H20" s="3">
        <f t="shared" si="6"/>
        <v>0</v>
      </c>
      <c r="I20" s="3">
        <f t="shared" si="7"/>
        <v>0</v>
      </c>
      <c r="J20" s="3">
        <f t="shared" si="8"/>
        <v>0</v>
      </c>
      <c r="K20" s="3"/>
    </row>
    <row r="21" spans="1:11" x14ac:dyDescent="0.2">
      <c r="A21" t="s">
        <v>33</v>
      </c>
      <c r="B21" s="3">
        <f t="shared" si="2"/>
        <v>1</v>
      </c>
      <c r="C21" s="3">
        <f t="shared" si="3"/>
        <v>1</v>
      </c>
      <c r="D21" s="5">
        <f t="shared" si="4"/>
        <v>0</v>
      </c>
      <c r="E21" s="3">
        <f t="shared" si="0"/>
        <v>0</v>
      </c>
      <c r="F21" s="3">
        <f t="shared" si="1"/>
        <v>0</v>
      </c>
      <c r="G21" s="3">
        <f t="shared" si="5"/>
        <v>0</v>
      </c>
      <c r="H21" s="3">
        <f t="shared" si="6"/>
        <v>0</v>
      </c>
      <c r="I21" s="3">
        <f t="shared" si="7"/>
        <v>0</v>
      </c>
      <c r="J21" s="3">
        <f t="shared" si="8"/>
        <v>0</v>
      </c>
      <c r="K21" s="3" t="s">
        <v>7</v>
      </c>
    </row>
    <row r="22" spans="1:11" x14ac:dyDescent="0.2">
      <c r="A22" t="s">
        <v>34</v>
      </c>
      <c r="B22" s="3">
        <f t="shared" ref="B22:B26" si="9">COUNTA(K22:VR22)</f>
        <v>1</v>
      </c>
      <c r="C22" s="3">
        <f t="shared" ref="C22:C26" si="10">COUNTIF(K22:VR22,"P")</f>
        <v>1</v>
      </c>
      <c r="D22" s="5">
        <f t="shared" si="4"/>
        <v>0</v>
      </c>
      <c r="E22" s="3">
        <f t="shared" si="0"/>
        <v>0</v>
      </c>
      <c r="F22" s="3">
        <f t="shared" si="1"/>
        <v>0</v>
      </c>
      <c r="G22" s="3">
        <f t="shared" si="5"/>
        <v>0</v>
      </c>
      <c r="H22" s="3">
        <f t="shared" si="6"/>
        <v>0</v>
      </c>
      <c r="I22" s="3">
        <f t="shared" si="7"/>
        <v>0</v>
      </c>
      <c r="J22" s="3">
        <f t="shared" si="8"/>
        <v>0</v>
      </c>
      <c r="K22" s="3" t="s">
        <v>7</v>
      </c>
    </row>
    <row r="23" spans="1:11" x14ac:dyDescent="0.2">
      <c r="A23" t="s">
        <v>35</v>
      </c>
      <c r="B23" s="3">
        <f t="shared" si="9"/>
        <v>1</v>
      </c>
      <c r="C23" s="3">
        <f t="shared" si="10"/>
        <v>1</v>
      </c>
      <c r="D23" s="5">
        <f t="shared" si="4"/>
        <v>0</v>
      </c>
      <c r="E23" s="3">
        <f t="shared" si="0"/>
        <v>0</v>
      </c>
      <c r="F23" s="3">
        <f t="shared" si="1"/>
        <v>0</v>
      </c>
      <c r="G23" s="3">
        <f t="shared" si="5"/>
        <v>0</v>
      </c>
      <c r="H23" s="3">
        <f t="shared" si="6"/>
        <v>0</v>
      </c>
      <c r="I23" s="3">
        <f t="shared" si="7"/>
        <v>0</v>
      </c>
      <c r="J23" s="3">
        <f t="shared" si="8"/>
        <v>0</v>
      </c>
      <c r="K23" s="3" t="s">
        <v>7</v>
      </c>
    </row>
    <row r="24" spans="1:11" x14ac:dyDescent="0.2">
      <c r="A24" t="s">
        <v>38</v>
      </c>
      <c r="B24" s="3">
        <f t="shared" si="9"/>
        <v>1</v>
      </c>
      <c r="C24" s="3">
        <f t="shared" si="10"/>
        <v>1</v>
      </c>
      <c r="D24" s="5">
        <f t="shared" si="4"/>
        <v>0</v>
      </c>
      <c r="E24" s="3">
        <f t="shared" si="0"/>
        <v>0</v>
      </c>
      <c r="F24" s="3">
        <f t="shared" si="1"/>
        <v>0</v>
      </c>
      <c r="G24" s="3">
        <f t="shared" si="5"/>
        <v>0</v>
      </c>
      <c r="H24" s="3">
        <f t="shared" si="6"/>
        <v>0</v>
      </c>
      <c r="I24" s="3">
        <f t="shared" si="7"/>
        <v>0</v>
      </c>
      <c r="J24" s="3">
        <f t="shared" si="8"/>
        <v>0</v>
      </c>
      <c r="K24" s="3" t="s">
        <v>7</v>
      </c>
    </row>
    <row r="25" spans="1:11" x14ac:dyDescent="0.2">
      <c r="A25" t="s">
        <v>36</v>
      </c>
      <c r="B25" s="3">
        <f t="shared" si="9"/>
        <v>1</v>
      </c>
      <c r="C25" s="3">
        <f t="shared" si="10"/>
        <v>0</v>
      </c>
      <c r="D25" s="5">
        <f t="shared" si="4"/>
        <v>0</v>
      </c>
      <c r="E25" s="3">
        <f t="shared" si="0"/>
        <v>1</v>
      </c>
      <c r="F25" s="3">
        <f t="shared" si="1"/>
        <v>0</v>
      </c>
      <c r="G25" s="3">
        <f t="shared" si="5"/>
        <v>0</v>
      </c>
      <c r="H25" s="3">
        <f t="shared" si="6"/>
        <v>0</v>
      </c>
      <c r="I25" s="3">
        <f t="shared" si="7"/>
        <v>0</v>
      </c>
      <c r="J25" s="3">
        <f t="shared" si="8"/>
        <v>0</v>
      </c>
      <c r="K25" s="3" t="s">
        <v>18</v>
      </c>
    </row>
    <row r="26" spans="1:11" x14ac:dyDescent="0.2">
      <c r="A26" t="s">
        <v>15</v>
      </c>
      <c r="B26" s="3">
        <f t="shared" si="9"/>
        <v>1</v>
      </c>
      <c r="C26" s="3">
        <f t="shared" si="10"/>
        <v>1</v>
      </c>
      <c r="D26" s="5">
        <f t="shared" si="4"/>
        <v>0</v>
      </c>
      <c r="E26" s="3">
        <f t="shared" si="0"/>
        <v>0</v>
      </c>
      <c r="F26" s="3">
        <f t="shared" si="1"/>
        <v>0</v>
      </c>
      <c r="G26" s="3">
        <f t="shared" si="5"/>
        <v>0</v>
      </c>
      <c r="H26" s="3">
        <f t="shared" si="6"/>
        <v>0</v>
      </c>
      <c r="I26" s="3">
        <f t="shared" si="7"/>
        <v>0</v>
      </c>
      <c r="J26" s="3">
        <f t="shared" si="8"/>
        <v>0</v>
      </c>
      <c r="K26" s="3" t="s">
        <v>7</v>
      </c>
    </row>
    <row r="27" spans="1:11" x14ac:dyDescent="0.2">
      <c r="A27" t="s">
        <v>37</v>
      </c>
      <c r="B27" s="3">
        <f t="shared" ref="B27:B29" si="11">COUNTA(K27:VR27)</f>
        <v>1</v>
      </c>
      <c r="C27" s="3">
        <f t="shared" ref="C27:C29" si="12">COUNTIF(K27:VR27,"P")</f>
        <v>1</v>
      </c>
      <c r="D27" s="5">
        <f t="shared" ref="D27:D29" si="13">COUNTIF(K27:VR27,"REP")</f>
        <v>0</v>
      </c>
      <c r="E27" s="3">
        <f t="shared" ref="E27:E29" si="14">COUNTIF(K27:VS27,"A")</f>
        <v>0</v>
      </c>
      <c r="F27" s="3">
        <f t="shared" ref="F27:F29" si="15">COUNTIF(K27:VT27,"B")</f>
        <v>0</v>
      </c>
      <c r="G27" s="3">
        <f t="shared" ref="G27:G29" si="16">COUNTIF(K27:VU27,"M")</f>
        <v>0</v>
      </c>
      <c r="H27" s="3">
        <f t="shared" ref="H27:H29" si="17">COUNTIF(K27:VV27,"R")</f>
        <v>0</v>
      </c>
      <c r="I27" s="3">
        <f t="shared" ref="I27:I29" si="18">COUNTIF(K27:VW27,"RH")</f>
        <v>0</v>
      </c>
      <c r="J27" s="3">
        <f t="shared" ref="J27:J29" si="19">COUNTIF(K27:VW27,"S")</f>
        <v>0</v>
      </c>
      <c r="K27" s="3" t="s">
        <v>7</v>
      </c>
    </row>
    <row r="28" spans="1:11" x14ac:dyDescent="0.2">
      <c r="B28" s="3">
        <f t="shared" si="11"/>
        <v>0</v>
      </c>
      <c r="C28" s="3">
        <f t="shared" si="12"/>
        <v>0</v>
      </c>
      <c r="D28" s="5">
        <f t="shared" si="13"/>
        <v>0</v>
      </c>
      <c r="E28" s="3">
        <f t="shared" si="14"/>
        <v>0</v>
      </c>
      <c r="F28" s="3">
        <f t="shared" si="15"/>
        <v>0</v>
      </c>
      <c r="G28" s="3">
        <f t="shared" si="16"/>
        <v>0</v>
      </c>
      <c r="H28" s="3">
        <f t="shared" si="17"/>
        <v>0</v>
      </c>
      <c r="I28" s="3">
        <f t="shared" si="18"/>
        <v>0</v>
      </c>
      <c r="J28" s="3">
        <f t="shared" si="19"/>
        <v>0</v>
      </c>
    </row>
    <row r="29" spans="1:11" x14ac:dyDescent="0.2">
      <c r="B29" s="3">
        <f t="shared" si="11"/>
        <v>0</v>
      </c>
      <c r="C29" s="3">
        <f t="shared" si="12"/>
        <v>0</v>
      </c>
      <c r="D29" s="5">
        <f t="shared" si="13"/>
        <v>0</v>
      </c>
      <c r="E29" s="3">
        <f t="shared" si="14"/>
        <v>0</v>
      </c>
      <c r="F29" s="3">
        <f t="shared" si="15"/>
        <v>0</v>
      </c>
      <c r="G29" s="3">
        <f t="shared" si="16"/>
        <v>0</v>
      </c>
      <c r="H29" s="3">
        <f t="shared" si="17"/>
        <v>0</v>
      </c>
      <c r="I29" s="3">
        <f t="shared" si="18"/>
        <v>0</v>
      </c>
      <c r="J29" s="3">
        <f t="shared" si="19"/>
        <v>0</v>
      </c>
    </row>
    <row r="30" spans="1:11" x14ac:dyDescent="0.2">
      <c r="B30" s="3">
        <f t="shared" ref="B30" si="20">COUNTA(K30:VR30)</f>
        <v>0</v>
      </c>
      <c r="C30" s="3">
        <f t="shared" ref="C30" si="21">COUNTIF(K30:VR30,"P")</f>
        <v>0</v>
      </c>
      <c r="D30" s="5">
        <f t="shared" ref="D30" si="22">COUNTIF(K30:VR30,"REP")</f>
        <v>0</v>
      </c>
      <c r="E30" s="3">
        <f t="shared" ref="E30" si="23">COUNTIF(K30:VS30,"A")</f>
        <v>0</v>
      </c>
      <c r="F30" s="3">
        <f t="shared" ref="F30" si="24">COUNTIF(K30:VT30,"B")</f>
        <v>0</v>
      </c>
      <c r="G30" s="3">
        <f t="shared" ref="G30" si="25">COUNTIF(K30:VU30,"M")</f>
        <v>0</v>
      </c>
      <c r="H30" s="3">
        <f t="shared" ref="H30" si="26">COUNTIF(K30:VV30,"R")</f>
        <v>0</v>
      </c>
      <c r="I30" s="3">
        <f t="shared" ref="I30" si="27">COUNTIF(K30:VW30,"RH")</f>
        <v>0</v>
      </c>
      <c r="J30" s="3">
        <f t="shared" ref="J30" si="28">COUNTIF(K30:VW30,"S")</f>
        <v>0</v>
      </c>
    </row>
    <row r="31" spans="1:11" x14ac:dyDescent="0.2">
      <c r="B31" s="3">
        <f t="shared" ref="B31" si="29">COUNTA(K31:VR31)</f>
        <v>0</v>
      </c>
      <c r="C31" s="3">
        <f t="shared" ref="C31" si="30">COUNTIF(K31:VR31,"P")</f>
        <v>0</v>
      </c>
      <c r="D31" s="5">
        <f t="shared" ref="D31" si="31">COUNTIF(K31:VR31,"REP")</f>
        <v>0</v>
      </c>
      <c r="E31" s="3">
        <f t="shared" ref="E31" si="32">COUNTIF(K31:VS31,"A")</f>
        <v>0</v>
      </c>
      <c r="F31" s="3">
        <f t="shared" ref="F31" si="33">COUNTIF(K31:VT31,"B")</f>
        <v>0</v>
      </c>
      <c r="G31" s="3">
        <f t="shared" ref="G31" si="34">COUNTIF(K31:VU31,"M")</f>
        <v>0</v>
      </c>
      <c r="H31" s="3">
        <f t="shared" ref="H31" si="35">COUNTIF(K31:VV31,"R")</f>
        <v>0</v>
      </c>
      <c r="I31" s="3">
        <f t="shared" ref="I31" si="36">COUNTIF(K31:VW31,"RH")</f>
        <v>0</v>
      </c>
      <c r="J31" s="3">
        <f t="shared" ref="J31" si="37">COUNTIF(K31:VW31,"S")</f>
        <v>0</v>
      </c>
    </row>
    <row r="32" spans="1:11" x14ac:dyDescent="0.2">
      <c r="B32" s="3">
        <f t="shared" ref="B32" si="38">COUNTA(K32:VR32)</f>
        <v>0</v>
      </c>
      <c r="C32" s="3">
        <f t="shared" ref="C32" si="39">COUNTIF(K32:VR32,"P")</f>
        <v>0</v>
      </c>
      <c r="D32" s="5">
        <f t="shared" ref="D32" si="40">COUNTIF(K32:VR32,"REP")</f>
        <v>0</v>
      </c>
      <c r="E32" s="3">
        <f t="shared" ref="E32" si="41">COUNTIF(K32:VS32,"A")</f>
        <v>0</v>
      </c>
      <c r="F32" s="3">
        <f t="shared" ref="F32" si="42">COUNTIF(K32:VT32,"B")</f>
        <v>0</v>
      </c>
      <c r="G32" s="3">
        <f t="shared" ref="G32" si="43">COUNTIF(K32:VU32,"M")</f>
        <v>0</v>
      </c>
      <c r="H32" s="3">
        <f t="shared" ref="H32" si="44">COUNTIF(K32:VV32,"R")</f>
        <v>0</v>
      </c>
      <c r="I32" s="3">
        <f t="shared" ref="I32" si="45">COUNTIF(K32:VW32,"RH")</f>
        <v>0</v>
      </c>
      <c r="J32" s="3">
        <f t="shared" ref="J32" si="46">COUNTIF(K32:VW32,"S")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2025-06-30T13:38:00Z</dcterms:created>
  <dcterms:modified xsi:type="dcterms:W3CDTF">2026-07-14T15:37:20Z</dcterms:modified>
</cp:coreProperties>
</file>