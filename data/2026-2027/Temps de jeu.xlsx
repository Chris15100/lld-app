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DD834D72-39FD-6E44-A685-CB01EB7B9C5A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29" i="1" l="1"/>
  <c r="O30" i="1"/>
  <c r="S29" i="1"/>
  <c r="S31" i="1"/>
  <c r="G30" i="1"/>
  <c r="K31" i="1"/>
  <c r="S8" i="1"/>
  <c r="G31" i="1"/>
  <c r="PW31" i="1" s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0" i="1" l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<sst xmlns="http://schemas.openxmlformats.org/spreadsheetml/2006/main" count="586" uniqueCount="147">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</sst>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1"/>
  <sheetViews>
    <sheetView tabSelected="1" workbookViewId="0">
      <pane xSplit="1" topLeftCell="BC1" activePane="topRight" state="frozen"/>
      <selection pane="topRight" activeCell="BF8" sqref="BF8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240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240</v>
      </c>
      <c r="G2">
        <f>SUM(H2:I2)</f>
        <v>3</v>
      </c>
      <c r="H2" s="3">
        <f>COUNTIF(AI2:PR2,"T")</f>
        <v>3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145</v>
      </c>
      <c r="AU2">
        <v>90</v>
      </c>
      <c r="AV2" t="s">
        <v>145</v>
      </c>
      <c r="AY2">
        <v>90</v>
      </c>
      <c r="AZ2" t="s">
        <v>145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31" si="4">COUNTIF(IU:PR,"HG")</f>
        <v>0</v>
      </c>
      <c r="PW2">
        <f>G2-(K2+O2+S2)</f>
        <v>3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8" si="5">SUM(CY3,DC3,DG3,DK3,DO3,DS3,DW3,EA3,EE3,EI3,EM3,EQ3,EU3,EY3,FC3,FG3,FK3,FO3,FS3,FW3,GA3,GE3,GI3,GM3,GQ3,GU3)</f>
        <v>0</v>
      </c>
      <c r="D3">
        <f t="shared" ref="D3:D28" si="6">SUM(GY3,HC3,HG3,HK3,HO3,HS3,HW3,IA3,IE3,II3,IM3,IQ3)</f>
        <v>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0</v>
      </c>
      <c r="H3" s="3">
        <f t="shared" ref="H3:H28" si="10">COUNTIF(AI3:PR3,"T")</f>
        <v>0</v>
      </c>
      <c r="I3" s="3">
        <f t="shared" ref="I3:I28" si="11">COUNTIF(AI3:PR3,"R")</f>
        <v>0</v>
      </c>
      <c r="J3" s="3">
        <f t="shared" ref="J3:J28" si="12">COUNTIF(AI3:PR3,"NR")</f>
        <v>0</v>
      </c>
      <c r="K3">
        <f t="shared" ref="K3:K28" si="13">SUM(L3:M3)</f>
        <v>0</v>
      </c>
      <c r="L3" s="3">
        <f t="shared" ref="L3:L28" si="14">COUNTIF(CY3:GX3,"T")</f>
        <v>0</v>
      </c>
      <c r="M3" s="3">
        <f t="shared" ref="M3:M28" si="15">COUNTIF(CY3:GX3,"R")</f>
        <v>0</v>
      </c>
      <c r="N3" s="3">
        <f t="shared" ref="N3:N28" si="16">COUNTIF(CY3:GX3,"NR")</f>
        <v>0</v>
      </c>
      <c r="O3">
        <f t="shared" ref="O3:O28" si="17">SUM(P3:Q3)</f>
        <v>0</v>
      </c>
      <c r="P3" s="3">
        <f t="shared" ref="P3:P28" si="18">COUNTIF(GY3:IT3,"T")</f>
        <v>0</v>
      </c>
      <c r="Q3" s="3">
        <f t="shared" ref="Q3:Q28" si="19">COUNTIF(GY3:IT3,"R")</f>
        <v>0</v>
      </c>
      <c r="R3" s="3">
        <f t="shared" ref="R3:R28" si="20">COUNTIF(GY3:IT3,"NR")</f>
        <v>0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PS3" s="3">
        <f t="shared" ref="PS3:PS28" si="32">COUNTIF(AI3:PR3,"HG")</f>
        <v>0</v>
      </c>
      <c r="PT3" s="3">
        <f t="shared" ref="PT3:PT28" si="33">COUNTIF(CY3:GX3,"HG")</f>
        <v>0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128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190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190</v>
      </c>
      <c r="G4">
        <f t="shared" ref="G4" si="37">SUM(H4:I4)</f>
        <v>4</v>
      </c>
      <c r="H4" s="3">
        <f t="shared" ref="H4" si="38">COUNTIF(AI4:PR4,"T")</f>
        <v>3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145</v>
      </c>
      <c r="AM4">
        <v>45</v>
      </c>
      <c r="AN4" t="s">
        <v>145</v>
      </c>
      <c r="AQ4">
        <v>30</v>
      </c>
      <c r="AR4" t="s">
        <v>146</v>
      </c>
      <c r="BC4">
        <v>70</v>
      </c>
      <c r="BD4" t="s">
        <v>145</v>
      </c>
      <c r="PS4" s="3">
        <f t="shared" ref="PS4" si="57">COUNTIF(AI4:PR4,"HG")</f>
        <v>0</v>
      </c>
      <c r="PT4" s="3">
        <f t="shared" ref="PT4" si="58">COUNTIF(CY4:GX4,"HG")</f>
        <v>0</v>
      </c>
      <c r="PU4" s="3">
        <f t="shared" ref="PU4" si="59">COUNTIF(GY4:IT4,"HG")</f>
        <v>0</v>
      </c>
      <c r="PV4">
        <f t="shared" si="4"/>
        <v>0</v>
      </c>
      <c r="PW4">
        <f t="shared" ref="PW4" si="60">G4-(K4+O4+S4)</f>
        <v>4</v>
      </c>
    </row>
    <row r="5" spans="1:439" x14ac:dyDescent="0.2">
      <c r="A5" t="s">
        <v>112</v>
      </c>
      <c r="B5">
        <f t="shared" si="36"/>
        <v>270</v>
      </c>
      <c r="C5">
        <f t="shared" si="5"/>
        <v>0</v>
      </c>
      <c r="D5">
        <f t="shared" si="6"/>
        <v>0</v>
      </c>
      <c r="E5">
        <f t="shared" si="7"/>
        <v>0</v>
      </c>
      <c r="F5">
        <f t="shared" si="8"/>
        <v>270</v>
      </c>
      <c r="G5">
        <f t="shared" si="9"/>
        <v>4</v>
      </c>
      <c r="H5" s="3">
        <f t="shared" si="10"/>
        <v>4</v>
      </c>
      <c r="I5" s="3">
        <f t="shared" si="11"/>
        <v>0</v>
      </c>
      <c r="J5" s="3">
        <f t="shared" si="12"/>
        <v>0</v>
      </c>
      <c r="K5">
        <f t="shared" si="13"/>
        <v>0</v>
      </c>
      <c r="L5" s="3">
        <f t="shared" si="14"/>
        <v>0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145</v>
      </c>
      <c r="AQ5">
        <v>60</v>
      </c>
      <c r="AR5" t="s">
        <v>145</v>
      </c>
      <c r="AU5">
        <v>75</v>
      </c>
      <c r="AV5" t="s">
        <v>145</v>
      </c>
      <c r="AY5">
        <v>90</v>
      </c>
      <c r="AZ5" t="s">
        <v>145</v>
      </c>
      <c r="PS5" s="3">
        <f t="shared" si="32"/>
        <v>0</v>
      </c>
      <c r="PT5" s="3">
        <f t="shared" si="33"/>
        <v>0</v>
      </c>
      <c r="PU5" s="3">
        <f t="shared" si="34"/>
        <v>0</v>
      </c>
      <c r="PV5">
        <f t="shared" si="4"/>
        <v>0</v>
      </c>
      <c r="PW5">
        <f t="shared" si="35"/>
        <v>4</v>
      </c>
    </row>
    <row r="6" spans="1:439" x14ac:dyDescent="0.2">
      <c r="A6" t="s">
        <v>129</v>
      </c>
      <c r="B6">
        <f t="shared" si="36"/>
        <v>230</v>
      </c>
      <c r="C6">
        <f t="shared" si="5"/>
        <v>0</v>
      </c>
      <c r="D6">
        <f t="shared" si="6"/>
        <v>0</v>
      </c>
      <c r="E6">
        <f t="shared" si="7"/>
        <v>0</v>
      </c>
      <c r="F6">
        <f t="shared" si="8"/>
        <v>230</v>
      </c>
      <c r="G6">
        <f t="shared" si="9"/>
        <v>6</v>
      </c>
      <c r="H6" s="3">
        <f t="shared" si="10"/>
        <v>2</v>
      </c>
      <c r="I6" s="3">
        <f t="shared" si="11"/>
        <v>4</v>
      </c>
      <c r="J6" s="3">
        <f t="shared" si="12"/>
        <v>0</v>
      </c>
      <c r="K6">
        <f t="shared" si="13"/>
        <v>0</v>
      </c>
      <c r="L6" s="3">
        <f t="shared" si="14"/>
        <v>0</v>
      </c>
      <c r="M6" s="3">
        <f t="shared" si="15"/>
        <v>0</v>
      </c>
      <c r="N6" s="3">
        <f t="shared" si="16"/>
        <v>0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146</v>
      </c>
      <c r="AM6">
        <v>45</v>
      </c>
      <c r="AN6" t="s">
        <v>145</v>
      </c>
      <c r="AQ6">
        <v>30</v>
      </c>
      <c r="AR6" t="s">
        <v>146</v>
      </c>
      <c r="AU6">
        <v>15</v>
      </c>
      <c r="AV6" t="s">
        <v>146</v>
      </c>
      <c r="AY6">
        <v>60</v>
      </c>
      <c r="AZ6" t="s">
        <v>145</v>
      </c>
      <c r="BC6">
        <v>35</v>
      </c>
      <c r="BD6" t="s">
        <v>146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6</v>
      </c>
    </row>
    <row r="7" spans="1:439" x14ac:dyDescent="0.2">
      <c r="A7" t="s">
        <v>130</v>
      </c>
      <c r="B7">
        <f t="shared" si="36"/>
        <v>55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55</v>
      </c>
      <c r="G7">
        <f t="shared" si="9"/>
        <v>1</v>
      </c>
      <c r="H7" s="3">
        <f t="shared" si="10"/>
        <v>1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BC7">
        <v>55</v>
      </c>
      <c r="BD7" t="s">
        <v>145</v>
      </c>
      <c r="PS7" s="3">
        <f t="shared" si="32"/>
        <v>0</v>
      </c>
      <c r="PT7" s="3">
        <f t="shared" si="33"/>
        <v>0</v>
      </c>
      <c r="PU7" s="3">
        <f t="shared" si="34"/>
        <v>0</v>
      </c>
      <c r="PV7">
        <f t="shared" si="4"/>
        <v>0</v>
      </c>
      <c r="PW7">
        <f t="shared" si="35"/>
        <v>1</v>
      </c>
    </row>
    <row r="8" spans="1:439" x14ac:dyDescent="0.2">
      <c r="A8" t="s">
        <v>131</v>
      </c>
      <c r="B8">
        <f t="shared" si="36"/>
        <v>210</v>
      </c>
      <c r="C8">
        <f t="shared" si="5"/>
        <v>0</v>
      </c>
      <c r="D8">
        <f t="shared" si="6"/>
        <v>0</v>
      </c>
      <c r="E8">
        <f t="shared" si="7"/>
        <v>0</v>
      </c>
      <c r="F8">
        <f t="shared" si="8"/>
        <v>210</v>
      </c>
      <c r="G8">
        <f t="shared" si="9"/>
        <v>4</v>
      </c>
      <c r="H8" s="3">
        <f t="shared" si="10"/>
        <v>2</v>
      </c>
      <c r="I8" s="3">
        <f t="shared" si="11"/>
        <v>2</v>
      </c>
      <c r="J8" s="3">
        <f t="shared" si="12"/>
        <v>0</v>
      </c>
      <c r="K8">
        <f t="shared" si="13"/>
        <v>0</v>
      </c>
      <c r="L8" s="3">
        <f t="shared" si="14"/>
        <v>0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146</v>
      </c>
      <c r="AM8">
        <v>45</v>
      </c>
      <c r="AN8" t="s">
        <v>146</v>
      </c>
      <c r="AQ8">
        <v>60</v>
      </c>
      <c r="AR8" t="s">
        <v>145</v>
      </c>
      <c r="AU8">
        <v>60</v>
      </c>
      <c r="AV8" t="s">
        <v>145</v>
      </c>
      <c r="PS8" s="3">
        <f t="shared" si="32"/>
        <v>0</v>
      </c>
      <c r="PT8" s="3">
        <f t="shared" si="33"/>
        <v>0</v>
      </c>
      <c r="PU8" s="3">
        <f t="shared" si="34"/>
        <v>0</v>
      </c>
      <c r="PV8">
        <f t="shared" si="4"/>
        <v>0</v>
      </c>
      <c r="PW8">
        <f t="shared" si="35"/>
        <v>4</v>
      </c>
    </row>
    <row r="9" spans="1:439" x14ac:dyDescent="0.2">
      <c r="A9" t="s">
        <v>118</v>
      </c>
      <c r="B9">
        <f t="shared" si="36"/>
        <v>245</v>
      </c>
      <c r="C9">
        <f t="shared" si="5"/>
        <v>0</v>
      </c>
      <c r="D9">
        <f t="shared" si="6"/>
        <v>0</v>
      </c>
      <c r="E9">
        <f t="shared" si="7"/>
        <v>0</v>
      </c>
      <c r="F9">
        <f t="shared" si="8"/>
        <v>245</v>
      </c>
      <c r="G9">
        <f t="shared" si="9"/>
        <v>4</v>
      </c>
      <c r="H9" s="3">
        <f t="shared" si="10"/>
        <v>2</v>
      </c>
      <c r="I9" s="3">
        <f t="shared" si="11"/>
        <v>2</v>
      </c>
      <c r="J9" s="3">
        <f t="shared" si="12"/>
        <v>0</v>
      </c>
      <c r="K9">
        <f t="shared" si="13"/>
        <v>0</v>
      </c>
      <c r="L9" s="3">
        <f t="shared" si="14"/>
        <v>0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146</v>
      </c>
      <c r="AU9">
        <v>75</v>
      </c>
      <c r="AV9" t="s">
        <v>145</v>
      </c>
      <c r="AY9">
        <v>90</v>
      </c>
      <c r="AZ9" t="s">
        <v>145</v>
      </c>
      <c r="BC9">
        <v>50</v>
      </c>
      <c r="BD9" t="s">
        <v>146</v>
      </c>
      <c r="PS9" s="3">
        <f t="shared" si="32"/>
        <v>0</v>
      </c>
      <c r="PT9" s="3">
        <f t="shared" si="33"/>
        <v>0</v>
      </c>
      <c r="PU9" s="3">
        <f t="shared" si="34"/>
        <v>0</v>
      </c>
      <c r="PV9">
        <f t="shared" si="4"/>
        <v>0</v>
      </c>
      <c r="PW9">
        <f t="shared" si="35"/>
        <v>4</v>
      </c>
    </row>
    <row r="10" spans="1:439" x14ac:dyDescent="0.2">
      <c r="A10" t="s">
        <v>132</v>
      </c>
      <c r="B10">
        <f t="shared" si="36"/>
        <v>310</v>
      </c>
      <c r="C10">
        <f t="shared" si="5"/>
        <v>0</v>
      </c>
      <c r="D10">
        <f t="shared" si="6"/>
        <v>0</v>
      </c>
      <c r="E10">
        <f t="shared" si="7"/>
        <v>0</v>
      </c>
      <c r="F10">
        <f t="shared" si="8"/>
        <v>310</v>
      </c>
      <c r="G10">
        <f t="shared" si="9"/>
        <v>6</v>
      </c>
      <c r="H10" s="3">
        <f t="shared" si="10"/>
        <v>4</v>
      </c>
      <c r="I10" s="3">
        <f t="shared" si="11"/>
        <v>2</v>
      </c>
      <c r="J10" s="3">
        <f t="shared" si="12"/>
        <v>0</v>
      </c>
      <c r="K10">
        <f t="shared" si="13"/>
        <v>0</v>
      </c>
      <c r="L10" s="3">
        <f t="shared" si="14"/>
        <v>0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146</v>
      </c>
      <c r="AM10">
        <v>45</v>
      </c>
      <c r="AN10" t="s">
        <v>145</v>
      </c>
      <c r="AQ10">
        <v>60</v>
      </c>
      <c r="AR10" t="s">
        <v>145</v>
      </c>
      <c r="AU10">
        <v>60</v>
      </c>
      <c r="AV10" t="s">
        <v>145</v>
      </c>
      <c r="AY10">
        <v>80</v>
      </c>
      <c r="AZ10" t="s">
        <v>145</v>
      </c>
      <c r="BC10">
        <v>20</v>
      </c>
      <c r="BD10" t="s">
        <v>146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6</v>
      </c>
    </row>
    <row r="11" spans="1:439" x14ac:dyDescent="0.2">
      <c r="A11" t="s">
        <v>113</v>
      </c>
      <c r="B11">
        <f t="shared" si="36"/>
        <v>310</v>
      </c>
      <c r="C11">
        <f t="shared" si="5"/>
        <v>0</v>
      </c>
      <c r="D11">
        <f t="shared" si="6"/>
        <v>0</v>
      </c>
      <c r="E11">
        <f t="shared" si="7"/>
        <v>0</v>
      </c>
      <c r="F11">
        <f t="shared" si="8"/>
        <v>310</v>
      </c>
      <c r="G11">
        <f t="shared" si="9"/>
        <v>6</v>
      </c>
      <c r="H11" s="3">
        <f t="shared" si="10"/>
        <v>4</v>
      </c>
      <c r="I11" s="3">
        <f t="shared" si="11"/>
        <v>2</v>
      </c>
      <c r="J11" s="3">
        <f t="shared" si="12"/>
        <v>0</v>
      </c>
      <c r="K11">
        <f t="shared" si="13"/>
        <v>0</v>
      </c>
      <c r="L11" s="3">
        <f t="shared" si="14"/>
        <v>0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>
        <f t="shared" si="50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145</v>
      </c>
      <c r="AM11">
        <v>45</v>
      </c>
      <c r="AN11" t="s">
        <v>146</v>
      </c>
      <c r="AQ11">
        <v>60</v>
      </c>
      <c r="AR11" t="s">
        <v>145</v>
      </c>
      <c r="AU11">
        <v>60</v>
      </c>
      <c r="AV11" t="s">
        <v>145</v>
      </c>
      <c r="AY11">
        <v>80</v>
      </c>
      <c r="AZ11" t="s">
        <v>145</v>
      </c>
      <c r="BC11">
        <v>20</v>
      </c>
      <c r="BD11" t="s">
        <v>146</v>
      </c>
      <c r="PS11" s="3">
        <f t="shared" si="32"/>
        <v>0</v>
      </c>
      <c r="PT11" s="3">
        <f t="shared" si="33"/>
        <v>0</v>
      </c>
      <c r="PU11" s="3">
        <f t="shared" si="34"/>
        <v>0</v>
      </c>
      <c r="PV11">
        <f t="shared" si="4"/>
        <v>0</v>
      </c>
      <c r="PW11">
        <f t="shared" si="35"/>
        <v>6</v>
      </c>
    </row>
    <row r="12" spans="1:439" x14ac:dyDescent="0.2">
      <c r="A12" t="s">
        <v>114</v>
      </c>
      <c r="B12">
        <f t="shared" si="36"/>
        <v>75</v>
      </c>
      <c r="C12">
        <f t="shared" si="5"/>
        <v>0</v>
      </c>
      <c r="D12">
        <f t="shared" si="6"/>
        <v>0</v>
      </c>
      <c r="E12">
        <f t="shared" si="7"/>
        <v>0</v>
      </c>
      <c r="F12">
        <f t="shared" si="8"/>
        <v>75</v>
      </c>
      <c r="G12">
        <f t="shared" si="9"/>
        <v>2</v>
      </c>
      <c r="H12" s="3">
        <f t="shared" si="10"/>
        <v>1</v>
      </c>
      <c r="I12" s="3">
        <f t="shared" si="11"/>
        <v>1</v>
      </c>
      <c r="J12" s="3">
        <f t="shared" si="12"/>
        <v>0</v>
      </c>
      <c r="K12">
        <f t="shared" si="13"/>
        <v>0</v>
      </c>
      <c r="L12" s="3">
        <f t="shared" si="14"/>
        <v>0</v>
      </c>
      <c r="M12" s="3">
        <f t="shared" si="15"/>
        <v>0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145</v>
      </c>
      <c r="AU12">
        <v>30</v>
      </c>
      <c r="AV12" t="s">
        <v>146</v>
      </c>
      <c r="PS12" s="3">
        <f t="shared" si="32"/>
        <v>0</v>
      </c>
      <c r="PT12" s="3">
        <f t="shared" si="33"/>
        <v>0</v>
      </c>
      <c r="PU12" s="3">
        <f t="shared" si="34"/>
        <v>0</v>
      </c>
      <c r="PV12">
        <f t="shared" si="4"/>
        <v>0</v>
      </c>
      <c r="PW12">
        <f t="shared" si="35"/>
        <v>2</v>
      </c>
    </row>
    <row r="13" spans="1:439" x14ac:dyDescent="0.2">
      <c r="A13" t="s">
        <v>127</v>
      </c>
      <c r="B13">
        <f t="shared" si="36"/>
        <v>210</v>
      </c>
      <c r="C13">
        <f t="shared" si="5"/>
        <v>0</v>
      </c>
      <c r="D13">
        <f t="shared" si="6"/>
        <v>0</v>
      </c>
      <c r="E13">
        <f t="shared" si="7"/>
        <v>0</v>
      </c>
      <c r="F13">
        <f t="shared" si="8"/>
        <v>210</v>
      </c>
      <c r="G13">
        <f t="shared" si="9"/>
        <v>5</v>
      </c>
      <c r="H13" s="3">
        <f t="shared" si="10"/>
        <v>1</v>
      </c>
      <c r="I13" s="3">
        <f t="shared" si="11"/>
        <v>4</v>
      </c>
      <c r="J13" s="3">
        <f t="shared" si="12"/>
        <v>0</v>
      </c>
      <c r="K13">
        <f t="shared" si="13"/>
        <v>0</v>
      </c>
      <c r="L13" s="3">
        <f t="shared" si="14"/>
        <v>0</v>
      </c>
      <c r="M13" s="3">
        <f t="shared" si="15"/>
        <v>0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>
        <f t="shared" si="50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146</v>
      </c>
      <c r="AM13">
        <v>45</v>
      </c>
      <c r="AN13" t="s">
        <v>146</v>
      </c>
      <c r="AU13">
        <v>30</v>
      </c>
      <c r="AV13" t="s">
        <v>146</v>
      </c>
      <c r="AY13">
        <v>25</v>
      </c>
      <c r="AZ13" t="s">
        <v>146</v>
      </c>
      <c r="BC13">
        <v>65</v>
      </c>
      <c r="BD13" t="s">
        <v>145</v>
      </c>
      <c r="PS13" s="3">
        <f t="shared" si="32"/>
        <v>0</v>
      </c>
      <c r="PT13" s="3">
        <f t="shared" si="33"/>
        <v>0</v>
      </c>
      <c r="PU13" s="3">
        <f t="shared" si="34"/>
        <v>0</v>
      </c>
      <c r="PV13">
        <f t="shared" si="4"/>
        <v>0</v>
      </c>
      <c r="PW13">
        <f t="shared" si="35"/>
        <v>5</v>
      </c>
    </row>
    <row r="14" spans="1:439" x14ac:dyDescent="0.2">
      <c r="A14" t="s">
        <v>115</v>
      </c>
      <c r="B14">
        <f t="shared" si="36"/>
        <v>245</v>
      </c>
      <c r="C14">
        <f t="shared" si="5"/>
        <v>0</v>
      </c>
      <c r="D14">
        <f t="shared" si="6"/>
        <v>0</v>
      </c>
      <c r="E14">
        <f t="shared" si="7"/>
        <v>0</v>
      </c>
      <c r="F14">
        <f t="shared" si="8"/>
        <v>245</v>
      </c>
      <c r="G14">
        <f t="shared" si="9"/>
        <v>5</v>
      </c>
      <c r="H14" s="3">
        <f t="shared" si="10"/>
        <v>3</v>
      </c>
      <c r="I14" s="3">
        <f t="shared" si="11"/>
        <v>2</v>
      </c>
      <c r="J14" s="3">
        <f t="shared" si="12"/>
        <v>0</v>
      </c>
      <c r="K14">
        <f t="shared" si="13"/>
        <v>0</v>
      </c>
      <c r="L14" s="3">
        <f t="shared" si="14"/>
        <v>0</v>
      </c>
      <c r="M14" s="3">
        <f t="shared" si="15"/>
        <v>0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146</v>
      </c>
      <c r="AM14">
        <v>45</v>
      </c>
      <c r="AN14" t="s">
        <v>145</v>
      </c>
      <c r="AQ14">
        <v>60</v>
      </c>
      <c r="AR14" t="s">
        <v>145</v>
      </c>
      <c r="AU14">
        <v>30</v>
      </c>
      <c r="AV14" t="s">
        <v>146</v>
      </c>
      <c r="AY14">
        <v>65</v>
      </c>
      <c r="AZ14" t="s">
        <v>145</v>
      </c>
      <c r="PS14" s="3">
        <f t="shared" si="32"/>
        <v>0</v>
      </c>
      <c r="PT14" s="3">
        <f t="shared" si="33"/>
        <v>0</v>
      </c>
      <c r="PU14" s="3">
        <f t="shared" si="34"/>
        <v>0</v>
      </c>
      <c r="PV14">
        <f t="shared" si="4"/>
        <v>0</v>
      </c>
      <c r="PW14">
        <f t="shared" si="35"/>
        <v>5</v>
      </c>
    </row>
    <row r="15" spans="1:439" x14ac:dyDescent="0.2">
      <c r="A15" t="s">
        <v>133</v>
      </c>
      <c r="B15">
        <f t="shared" si="36"/>
        <v>165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165</v>
      </c>
      <c r="G15">
        <f t="shared" si="9"/>
        <v>6</v>
      </c>
      <c r="H15" s="3">
        <f t="shared" si="10"/>
        <v>1</v>
      </c>
      <c r="I15" s="3">
        <f t="shared" si="11"/>
        <v>5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145</v>
      </c>
      <c r="AM15">
        <v>45</v>
      </c>
      <c r="AN15" t="s">
        <v>146</v>
      </c>
      <c r="AQ15">
        <v>30</v>
      </c>
      <c r="AR15" t="s">
        <v>146</v>
      </c>
      <c r="AU15">
        <v>30</v>
      </c>
      <c r="AV15" t="s">
        <v>146</v>
      </c>
      <c r="AY15">
        <v>5</v>
      </c>
      <c r="AZ15" t="s">
        <v>146</v>
      </c>
      <c r="BC15">
        <v>10</v>
      </c>
      <c r="BD15" t="s">
        <v>146</v>
      </c>
      <c r="PS15" s="3">
        <f t="shared" si="32"/>
        <v>0</v>
      </c>
      <c r="PT15" s="3">
        <f t="shared" si="33"/>
        <v>0</v>
      </c>
      <c r="PU15" s="3">
        <f t="shared" si="34"/>
        <v>0</v>
      </c>
      <c r="PV15">
        <f t="shared" si="4"/>
        <v>0</v>
      </c>
      <c r="PW15">
        <f t="shared" si="35"/>
        <v>6</v>
      </c>
    </row>
    <row r="16" spans="1:439" x14ac:dyDescent="0.2">
      <c r="A16" t="s">
        <v>134</v>
      </c>
      <c r="B16">
        <f t="shared" si="36"/>
        <v>67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67</v>
      </c>
      <c r="G16">
        <f t="shared" si="9"/>
        <v>2</v>
      </c>
      <c r="H16" s="3">
        <f t="shared" si="10"/>
        <v>0</v>
      </c>
      <c r="I16" s="3">
        <f t="shared" si="11"/>
        <v>2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146</v>
      </c>
      <c r="AK16">
        <v>1</v>
      </c>
      <c r="AM16">
        <v>22</v>
      </c>
      <c r="AN16" t="s">
        <v>146</v>
      </c>
      <c r="PS16" s="3">
        <f t="shared" si="32"/>
        <v>0</v>
      </c>
      <c r="PT16" s="3">
        <f t="shared" si="33"/>
        <v>0</v>
      </c>
      <c r="PU16" s="3">
        <f t="shared" si="34"/>
        <v>0</v>
      </c>
      <c r="PV16">
        <f t="shared" si="4"/>
        <v>0</v>
      </c>
      <c r="PW16">
        <f t="shared" si="35"/>
        <v>2</v>
      </c>
    </row>
    <row r="17" spans="1:439" x14ac:dyDescent="0.2">
      <c r="A17" t="s">
        <v>135</v>
      </c>
      <c r="B17">
        <f t="shared" si="36"/>
        <v>250</v>
      </c>
      <c r="C17">
        <f t="shared" si="5"/>
        <v>0</v>
      </c>
      <c r="D17">
        <f t="shared" si="6"/>
        <v>0</v>
      </c>
      <c r="E17">
        <f t="shared" si="7"/>
        <v>0</v>
      </c>
      <c r="F17">
        <f t="shared" si="8"/>
        <v>250</v>
      </c>
      <c r="G17">
        <f t="shared" si="9"/>
        <v>6</v>
      </c>
      <c r="H17" s="3">
        <f t="shared" si="10"/>
        <v>3</v>
      </c>
      <c r="I17" s="3">
        <f t="shared" si="11"/>
        <v>3</v>
      </c>
      <c r="J17" s="3">
        <f t="shared" si="12"/>
        <v>0</v>
      </c>
      <c r="K17">
        <f t="shared" si="13"/>
        <v>0</v>
      </c>
      <c r="L17" s="3">
        <f t="shared" si="14"/>
        <v>0</v>
      </c>
      <c r="M17" s="3">
        <f t="shared" si="15"/>
        <v>0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0</v>
      </c>
      <c r="X17" s="4">
        <f t="shared" si="2"/>
        <v>0</v>
      </c>
      <c r="Y17" s="4">
        <f t="shared" si="50"/>
        <v>0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145</v>
      </c>
      <c r="AM17">
        <v>45</v>
      </c>
      <c r="AN17" t="s">
        <v>145</v>
      </c>
      <c r="AQ17">
        <v>30</v>
      </c>
      <c r="AR17" t="s">
        <v>146</v>
      </c>
      <c r="AU17">
        <v>40</v>
      </c>
      <c r="AV17" t="s">
        <v>146</v>
      </c>
      <c r="AY17">
        <v>20</v>
      </c>
      <c r="AZ17" t="s">
        <v>146</v>
      </c>
      <c r="BC17">
        <v>70</v>
      </c>
      <c r="BD17" t="s">
        <v>145</v>
      </c>
      <c r="PS17" s="3">
        <f t="shared" si="32"/>
        <v>0</v>
      </c>
      <c r="PT17" s="3">
        <f t="shared" si="33"/>
        <v>0</v>
      </c>
      <c r="PU17" s="3">
        <f t="shared" si="34"/>
        <v>0</v>
      </c>
      <c r="PV17">
        <f t="shared" si="4"/>
        <v>0</v>
      </c>
      <c r="PW17">
        <f t="shared" si="35"/>
        <v>6</v>
      </c>
    </row>
    <row r="18" spans="1:439" x14ac:dyDescent="0.2">
      <c r="A18" t="s">
        <v>119</v>
      </c>
      <c r="B18">
        <f t="shared" si="36"/>
        <v>150</v>
      </c>
      <c r="C18">
        <f t="shared" si="5"/>
        <v>0</v>
      </c>
      <c r="D18">
        <f t="shared" si="6"/>
        <v>0</v>
      </c>
      <c r="E18">
        <f t="shared" si="7"/>
        <v>0</v>
      </c>
      <c r="F18">
        <f t="shared" si="8"/>
        <v>150</v>
      </c>
      <c r="G18">
        <f t="shared" si="9"/>
        <v>3</v>
      </c>
      <c r="H18" s="3">
        <f t="shared" si="10"/>
        <v>2</v>
      </c>
      <c r="I18" s="3">
        <f t="shared" si="11"/>
        <v>1</v>
      </c>
      <c r="J18" s="3">
        <f t="shared" si="12"/>
        <v>0</v>
      </c>
      <c r="K18">
        <f t="shared" si="13"/>
        <v>0</v>
      </c>
      <c r="L18" s="3">
        <f t="shared" si="14"/>
        <v>0</v>
      </c>
      <c r="M18" s="3">
        <f t="shared" si="15"/>
        <v>0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1</v>
      </c>
      <c r="X18" s="4">
        <f t="shared" si="2"/>
        <v>0</v>
      </c>
      <c r="Y18" s="4">
        <f t="shared" si="50"/>
        <v>0</v>
      </c>
      <c r="Z18" s="4">
        <f t="shared" si="24"/>
        <v>0</v>
      </c>
      <c r="AA18">
        <f t="shared" si="25"/>
        <v>0</v>
      </c>
      <c r="AB18">
        <f t="shared" si="26"/>
        <v>0</v>
      </c>
      <c r="AC18">
        <f t="shared" si="27"/>
        <v>0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146</v>
      </c>
      <c r="AK18">
        <v>1</v>
      </c>
      <c r="AM18">
        <v>45</v>
      </c>
      <c r="AN18" t="s">
        <v>145</v>
      </c>
      <c r="AQ18">
        <v>60</v>
      </c>
      <c r="AR18" t="s">
        <v>145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117</v>
      </c>
      <c r="B19">
        <f t="shared" si="36"/>
        <v>295</v>
      </c>
      <c r="C19">
        <f t="shared" si="5"/>
        <v>0</v>
      </c>
      <c r="D19">
        <f t="shared" si="6"/>
        <v>0</v>
      </c>
      <c r="E19">
        <f t="shared" si="7"/>
        <v>0</v>
      </c>
      <c r="F19">
        <f t="shared" si="8"/>
        <v>295</v>
      </c>
      <c r="G19">
        <f t="shared" si="9"/>
        <v>6</v>
      </c>
      <c r="H19" s="3">
        <f t="shared" si="10"/>
        <v>3</v>
      </c>
      <c r="I19" s="3">
        <f t="shared" si="11"/>
        <v>3</v>
      </c>
      <c r="J19" s="3">
        <f t="shared" si="12"/>
        <v>0</v>
      </c>
      <c r="K19">
        <f t="shared" si="13"/>
        <v>0</v>
      </c>
      <c r="L19" s="3">
        <f t="shared" si="14"/>
        <v>0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>
        <f t="shared" si="50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146</v>
      </c>
      <c r="AM19">
        <v>45</v>
      </c>
      <c r="AN19" t="s">
        <v>145</v>
      </c>
      <c r="AQ19">
        <v>60</v>
      </c>
      <c r="AR19" t="s">
        <v>145</v>
      </c>
      <c r="AU19">
        <v>30</v>
      </c>
      <c r="AV19" t="s">
        <v>146</v>
      </c>
      <c r="AY19">
        <v>45</v>
      </c>
      <c r="AZ19" t="s">
        <v>146</v>
      </c>
      <c r="BC19">
        <v>70</v>
      </c>
      <c r="BD19" t="s">
        <v>145</v>
      </c>
      <c r="PS19" s="3">
        <f t="shared" si="32"/>
        <v>0</v>
      </c>
      <c r="PT19" s="3">
        <f t="shared" si="33"/>
        <v>0</v>
      </c>
      <c r="PU19" s="3">
        <f t="shared" si="34"/>
        <v>0</v>
      </c>
      <c r="PV19">
        <f t="shared" si="4"/>
        <v>0</v>
      </c>
      <c r="PW19">
        <f t="shared" si="35"/>
        <v>6</v>
      </c>
    </row>
    <row r="20" spans="1:439" x14ac:dyDescent="0.2">
      <c r="A20" t="s">
        <v>141</v>
      </c>
      <c r="B20">
        <f t="shared" si="36"/>
        <v>195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195</v>
      </c>
      <c r="G20">
        <f t="shared" si="9"/>
        <v>5</v>
      </c>
      <c r="H20" s="3">
        <f t="shared" si="10"/>
        <v>1</v>
      </c>
      <c r="I20" s="3">
        <f t="shared" si="11"/>
        <v>4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146</v>
      </c>
      <c r="AQ20">
        <v>30</v>
      </c>
      <c r="AR20" t="s">
        <v>146</v>
      </c>
      <c r="AU20">
        <v>30</v>
      </c>
      <c r="AV20" t="s">
        <v>146</v>
      </c>
      <c r="AY20">
        <v>10</v>
      </c>
      <c r="AZ20" t="s">
        <v>146</v>
      </c>
      <c r="BC20">
        <v>80</v>
      </c>
      <c r="BD20" t="s">
        <v>145</v>
      </c>
      <c r="PS20" s="3">
        <f t="shared" si="32"/>
        <v>0</v>
      </c>
      <c r="PT20" s="3">
        <f t="shared" si="33"/>
        <v>0</v>
      </c>
      <c r="PU20" s="3">
        <f t="shared" si="34"/>
        <v>0</v>
      </c>
      <c r="PV20">
        <f t="shared" si="4"/>
        <v>0</v>
      </c>
      <c r="PW20">
        <f t="shared" si="35"/>
        <v>5</v>
      </c>
    </row>
    <row r="21" spans="1:439" x14ac:dyDescent="0.2">
      <c r="A21" t="s">
        <v>136</v>
      </c>
      <c r="B21">
        <f t="shared" si="36"/>
        <v>154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154</v>
      </c>
      <c r="G21">
        <f t="shared" si="9"/>
        <v>5</v>
      </c>
      <c r="H21" s="3">
        <f t="shared" si="10"/>
        <v>1</v>
      </c>
      <c r="I21" s="3">
        <f t="shared" si="11"/>
        <v>4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146</v>
      </c>
      <c r="AM21">
        <v>22</v>
      </c>
      <c r="AN21" t="s">
        <v>146</v>
      </c>
      <c r="AQ21">
        <v>30</v>
      </c>
      <c r="AR21" t="s">
        <v>146</v>
      </c>
      <c r="AY21">
        <v>10</v>
      </c>
      <c r="AZ21" t="s">
        <v>146</v>
      </c>
      <c r="BC21">
        <v>70</v>
      </c>
      <c r="BD21" t="s">
        <v>145</v>
      </c>
      <c r="PS21" s="3">
        <f t="shared" si="32"/>
        <v>0</v>
      </c>
      <c r="PT21" s="3">
        <f t="shared" si="33"/>
        <v>0</v>
      </c>
      <c r="PU21" s="3">
        <f t="shared" si="34"/>
        <v>0</v>
      </c>
      <c r="PV21">
        <f t="shared" si="4"/>
        <v>0</v>
      </c>
      <c r="PW21">
        <f t="shared" si="35"/>
        <v>5</v>
      </c>
    </row>
    <row r="22" spans="1:439" x14ac:dyDescent="0.2">
      <c r="A22" t="s">
        <v>137</v>
      </c>
      <c r="B22">
        <f t="shared" si="36"/>
        <v>127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127</v>
      </c>
      <c r="G22">
        <f t="shared" si="9"/>
        <v>6</v>
      </c>
      <c r="H22" s="3">
        <f t="shared" si="10"/>
        <v>0</v>
      </c>
      <c r="I22" s="3">
        <f t="shared" si="11"/>
        <v>6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146</v>
      </c>
      <c r="AL22">
        <v>1</v>
      </c>
      <c r="AM22">
        <v>30</v>
      </c>
      <c r="AN22" t="s">
        <v>146</v>
      </c>
      <c r="AQ22">
        <v>30</v>
      </c>
      <c r="AR22" t="s">
        <v>146</v>
      </c>
      <c r="AU22">
        <v>15</v>
      </c>
      <c r="AV22" t="s">
        <v>146</v>
      </c>
      <c r="AY22">
        <v>10</v>
      </c>
      <c r="AZ22" t="s">
        <v>146</v>
      </c>
      <c r="BC22">
        <v>20</v>
      </c>
      <c r="BD22" t="s">
        <v>146</v>
      </c>
      <c r="PS22" s="3">
        <f t="shared" si="32"/>
        <v>0</v>
      </c>
      <c r="PT22" s="3">
        <f t="shared" si="33"/>
        <v>0</v>
      </c>
      <c r="PU22" s="3">
        <f t="shared" si="34"/>
        <v>0</v>
      </c>
      <c r="PV22">
        <f t="shared" si="4"/>
        <v>0</v>
      </c>
      <c r="PW22">
        <f t="shared" si="35"/>
        <v>6</v>
      </c>
    </row>
    <row r="23" spans="1:439" x14ac:dyDescent="0.2">
      <c r="A23" t="s">
        <v>138</v>
      </c>
      <c r="B23">
        <f t="shared" si="36"/>
        <v>105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105</v>
      </c>
      <c r="G23">
        <f t="shared" si="9"/>
        <v>5</v>
      </c>
      <c r="H23" s="3">
        <f t="shared" si="10"/>
        <v>1</v>
      </c>
      <c r="I23" s="3">
        <f t="shared" si="11"/>
        <v>4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145</v>
      </c>
      <c r="AM23">
        <v>15</v>
      </c>
      <c r="AN23" t="s">
        <v>146</v>
      </c>
      <c r="AO23">
        <v>1</v>
      </c>
      <c r="AU23">
        <v>15</v>
      </c>
      <c r="AV23" t="s">
        <v>146</v>
      </c>
      <c r="AY23">
        <v>10</v>
      </c>
      <c r="AZ23" t="s">
        <v>146</v>
      </c>
      <c r="BC23">
        <v>20</v>
      </c>
      <c r="BD23" t="s">
        <v>146</v>
      </c>
      <c r="PS23" s="3">
        <f t="shared" si="32"/>
        <v>0</v>
      </c>
      <c r="PT23" s="3">
        <f t="shared" si="33"/>
        <v>0</v>
      </c>
      <c r="PU23" s="3">
        <f t="shared" si="34"/>
        <v>0</v>
      </c>
      <c r="PV23">
        <f t="shared" si="4"/>
        <v>0</v>
      </c>
      <c r="PW23">
        <f t="shared" si="35"/>
        <v>5</v>
      </c>
    </row>
    <row r="24" spans="1:439" x14ac:dyDescent="0.2">
      <c r="A24" t="s">
        <v>140</v>
      </c>
      <c r="B24">
        <f t="shared" si="36"/>
        <v>230</v>
      </c>
      <c r="C24">
        <f t="shared" si="5"/>
        <v>0</v>
      </c>
      <c r="D24">
        <f t="shared" si="6"/>
        <v>0</v>
      </c>
      <c r="E24">
        <f t="shared" si="7"/>
        <v>0</v>
      </c>
      <c r="F24">
        <f t="shared" si="8"/>
        <v>230</v>
      </c>
      <c r="G24">
        <f t="shared" si="9"/>
        <v>5</v>
      </c>
      <c r="H24" s="3">
        <f t="shared" si="10"/>
        <v>3</v>
      </c>
      <c r="I24" s="3">
        <f t="shared" si="11"/>
        <v>2</v>
      </c>
      <c r="J24" s="3">
        <f t="shared" si="12"/>
        <v>0</v>
      </c>
      <c r="K24">
        <f t="shared" si="13"/>
        <v>0</v>
      </c>
      <c r="L24" s="3">
        <f t="shared" si="14"/>
        <v>0</v>
      </c>
      <c r="M24" s="3">
        <f t="shared" si="15"/>
        <v>0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145</v>
      </c>
      <c r="AM24">
        <v>45</v>
      </c>
      <c r="AN24" t="s">
        <v>146</v>
      </c>
      <c r="AU24">
        <v>30</v>
      </c>
      <c r="AV24" t="s">
        <v>146</v>
      </c>
      <c r="AY24">
        <v>60</v>
      </c>
      <c r="AZ24" t="s">
        <v>145</v>
      </c>
      <c r="BC24">
        <v>50</v>
      </c>
      <c r="BD24" t="s">
        <v>145</v>
      </c>
      <c r="PS24" s="3">
        <f t="shared" si="32"/>
        <v>0</v>
      </c>
      <c r="PT24" s="3">
        <f t="shared" si="33"/>
        <v>0</v>
      </c>
      <c r="PU24" s="3">
        <f t="shared" si="34"/>
        <v>0</v>
      </c>
      <c r="PV24">
        <f t="shared" si="4"/>
        <v>0</v>
      </c>
      <c r="PW24">
        <f t="shared" si="35"/>
        <v>5</v>
      </c>
    </row>
    <row r="25" spans="1:439" x14ac:dyDescent="0.2">
      <c r="A25" t="s">
        <v>139</v>
      </c>
      <c r="B25">
        <f t="shared" si="36"/>
        <v>250</v>
      </c>
      <c r="C25">
        <f t="shared" si="5"/>
        <v>0</v>
      </c>
      <c r="D25">
        <f t="shared" si="6"/>
        <v>0</v>
      </c>
      <c r="E25">
        <f t="shared" si="7"/>
        <v>0</v>
      </c>
      <c r="F25">
        <f t="shared" si="8"/>
        <v>250</v>
      </c>
      <c r="G25">
        <f t="shared" si="9"/>
        <v>5</v>
      </c>
      <c r="H25" s="3">
        <f t="shared" si="10"/>
        <v>3</v>
      </c>
      <c r="I25" s="3">
        <f t="shared" si="11"/>
        <v>2</v>
      </c>
      <c r="J25" s="3">
        <f t="shared" si="12"/>
        <v>0</v>
      </c>
      <c r="K25">
        <f t="shared" si="13"/>
        <v>0</v>
      </c>
      <c r="L25" s="3">
        <f t="shared" si="14"/>
        <v>0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1</v>
      </c>
      <c r="X25" s="4">
        <f t="shared" si="2"/>
        <v>0</v>
      </c>
      <c r="Y25" s="4">
        <f t="shared" si="50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0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145</v>
      </c>
      <c r="AM25">
        <v>45</v>
      </c>
      <c r="AN25" t="s">
        <v>146</v>
      </c>
      <c r="AQ25">
        <v>30</v>
      </c>
      <c r="AR25" t="s">
        <v>146</v>
      </c>
      <c r="AS25">
        <v>1</v>
      </c>
      <c r="AU25">
        <v>60</v>
      </c>
      <c r="AV25" t="s">
        <v>145</v>
      </c>
      <c r="AY25">
        <v>70</v>
      </c>
      <c r="AZ25" t="s">
        <v>145</v>
      </c>
      <c r="PS25" s="3">
        <f t="shared" si="32"/>
        <v>0</v>
      </c>
      <c r="PT25" s="3">
        <f t="shared" si="33"/>
        <v>0</v>
      </c>
      <c r="PU25" s="3">
        <f t="shared" si="34"/>
        <v>0</v>
      </c>
      <c r="PV25">
        <f t="shared" si="4"/>
        <v>0</v>
      </c>
      <c r="PW25">
        <f t="shared" si="35"/>
        <v>5</v>
      </c>
    </row>
    <row r="26" spans="1:439" x14ac:dyDescent="0.2">
      <c r="A26" t="s">
        <v>116</v>
      </c>
      <c r="B26">
        <f t="shared" si="36"/>
        <v>40</v>
      </c>
      <c r="C26">
        <f t="shared" si="5"/>
        <v>0</v>
      </c>
      <c r="D26">
        <f t="shared" si="6"/>
        <v>0</v>
      </c>
      <c r="E26">
        <f t="shared" si="7"/>
        <v>0</v>
      </c>
      <c r="F26">
        <f t="shared" si="8"/>
        <v>40</v>
      </c>
      <c r="G26">
        <f t="shared" si="9"/>
        <v>1</v>
      </c>
      <c r="H26" s="3">
        <f t="shared" si="10"/>
        <v>0</v>
      </c>
      <c r="I26" s="3">
        <f t="shared" si="11"/>
        <v>1</v>
      </c>
      <c r="J26" s="3">
        <f t="shared" si="12"/>
        <v>0</v>
      </c>
      <c r="K26">
        <f t="shared" si="13"/>
        <v>0</v>
      </c>
      <c r="L26" s="3">
        <f t="shared" si="14"/>
        <v>0</v>
      </c>
      <c r="M26" s="3">
        <f t="shared" si="15"/>
        <v>0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1</v>
      </c>
      <c r="X26" s="4">
        <f t="shared" si="2"/>
        <v>0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"/>
        <v>0</v>
      </c>
      <c r="AH26">
        <f t="shared" si="31"/>
        <v>0</v>
      </c>
      <c r="BC26">
        <v>40</v>
      </c>
      <c r="BD26" t="s">
        <v>146</v>
      </c>
      <c r="BE26">
        <v>1</v>
      </c>
      <c r="PS26" s="3">
        <f t="shared" si="32"/>
        <v>0</v>
      </c>
      <c r="PT26" s="3">
        <f t="shared" si="33"/>
        <v>0</v>
      </c>
      <c r="PU26" s="3">
        <f t="shared" si="34"/>
        <v>0</v>
      </c>
      <c r="PV26">
        <f t="shared" si="4"/>
        <v>0</v>
      </c>
      <c r="PW26">
        <f t="shared" si="35"/>
        <v>1</v>
      </c>
    </row>
    <row r="27" spans="1:439" x14ac:dyDescent="0.2">
      <c r="A27" t="s">
        <v>142</v>
      </c>
      <c r="B27">
        <f t="shared" si="36"/>
        <v>110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110</v>
      </c>
      <c r="G27">
        <f t="shared" si="9"/>
        <v>3</v>
      </c>
      <c r="H27" s="3">
        <f t="shared" si="10"/>
        <v>1</v>
      </c>
      <c r="I27" s="3">
        <f t="shared" si="11"/>
        <v>2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145</v>
      </c>
      <c r="AM27">
        <v>45</v>
      </c>
      <c r="AN27" t="s">
        <v>146</v>
      </c>
      <c r="BC27">
        <v>20</v>
      </c>
      <c r="BD27" t="s">
        <v>146</v>
      </c>
      <c r="PS27" s="3">
        <f t="shared" si="32"/>
        <v>0</v>
      </c>
      <c r="PT27" s="3">
        <f t="shared" si="33"/>
        <v>0</v>
      </c>
      <c r="PU27" s="3">
        <f t="shared" si="34"/>
        <v>0</v>
      </c>
      <c r="PV27">
        <f t="shared" si="4"/>
        <v>0</v>
      </c>
      <c r="PW27">
        <f t="shared" si="35"/>
        <v>3</v>
      </c>
    </row>
    <row r="28" spans="1:439" x14ac:dyDescent="0.2">
      <c r="A28" t="s">
        <v>143</v>
      </c>
      <c r="B28">
        <f t="shared" si="36"/>
        <v>260</v>
      </c>
      <c r="C28">
        <f t="shared" si="5"/>
        <v>0</v>
      </c>
      <c r="D28">
        <f t="shared" si="6"/>
        <v>0</v>
      </c>
      <c r="E28">
        <f t="shared" si="7"/>
        <v>0</v>
      </c>
      <c r="F28">
        <f t="shared" si="8"/>
        <v>260</v>
      </c>
      <c r="G28">
        <f t="shared" si="9"/>
        <v>5</v>
      </c>
      <c r="H28" s="3">
        <f t="shared" si="10"/>
        <v>3</v>
      </c>
      <c r="I28" s="3">
        <f t="shared" si="11"/>
        <v>2</v>
      </c>
      <c r="J28" s="3">
        <f t="shared" si="12"/>
        <v>0</v>
      </c>
      <c r="K28">
        <f t="shared" si="13"/>
        <v>0</v>
      </c>
      <c r="L28" s="3">
        <f t="shared" si="14"/>
        <v>0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145</v>
      </c>
      <c r="AM28">
        <v>45</v>
      </c>
      <c r="AN28" t="s">
        <v>146</v>
      </c>
      <c r="AQ28">
        <v>30</v>
      </c>
      <c r="AR28" t="s">
        <v>146</v>
      </c>
      <c r="AU28">
        <v>60</v>
      </c>
      <c r="AV28" t="s">
        <v>145</v>
      </c>
      <c r="BC28">
        <v>80</v>
      </c>
      <c r="BD28" t="s">
        <v>145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5</v>
      </c>
    </row>
    <row r="29" spans="1:439" x14ac:dyDescent="0.2">
      <c r="A29" t="s">
        <v>144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285</v>
      </c>
      <c r="C29">
        <f t="shared" ref="C29" si="62">SUM(CY29,DC29,DG29,DK29,DO29,DS29,DW29,EA29,EE29,EI29,EM29,EQ29,EU29,EY29,FC29,FG29,FK29,FO29,FS29,FW29,GA29,GE29,GI29,GM29,GQ29,GU29)</f>
        <v>0</v>
      </c>
      <c r="D29">
        <f t="shared" ref="D29" si="63">SUM(GY29,HC29,HG29,HK29,HO29,HS29,HW29,IA29,IE29,II29,IM29,IQ29)</f>
        <v>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285</v>
      </c>
      <c r="G29">
        <f t="shared" ref="G29" si="65">SUM(H29:I29)</f>
        <v>6</v>
      </c>
      <c r="H29" s="3">
        <f t="shared" ref="H29" si="66">COUNTIF(AI29:PR29,"T")</f>
        <v>3</v>
      </c>
      <c r="I29" s="3">
        <f t="shared" ref="I29" si="67">COUNTIF(AI29:PR29,"R")</f>
        <v>3</v>
      </c>
      <c r="J29" s="3">
        <f t="shared" ref="J29" si="68">COUNTIF(AI29:PR29,"NR")</f>
        <v>0</v>
      </c>
      <c r="K29">
        <f t="shared" ref="K29" si="69">SUM(L29:M29)</f>
        <v>0</v>
      </c>
      <c r="L29" s="3">
        <f t="shared" ref="L29" si="70">COUNTIF(CY29:GX29,"T")</f>
        <v>0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0</v>
      </c>
      <c r="P29" s="3">
        <f t="shared" ref="P29" si="74">COUNTIF(GY29:IT29,"T")</f>
        <v>0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0</v>
      </c>
      <c r="Z29" s="4">
        <f t="shared" si="24"/>
        <v>0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0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145</v>
      </c>
      <c r="AM29">
        <v>45</v>
      </c>
      <c r="AN29" t="s">
        <v>146</v>
      </c>
      <c r="AQ29">
        <v>30</v>
      </c>
      <c r="AR29" t="s">
        <v>146</v>
      </c>
      <c r="AU29">
        <v>60</v>
      </c>
      <c r="AV29" t="s">
        <v>145</v>
      </c>
      <c r="AY29">
        <v>85</v>
      </c>
      <c r="AZ29" t="s">
        <v>145</v>
      </c>
      <c r="BC29">
        <v>20</v>
      </c>
      <c r="BD29" t="s">
        <v>146</v>
      </c>
      <c r="PS29" s="3">
        <f t="shared" ref="PS29" si="86">COUNTIF(AI29:PR29,"HG")</f>
        <v>0</v>
      </c>
      <c r="PT29" s="3">
        <f t="shared" ref="PT29" si="87">COUNTIF(CY29:GX29,"HG")</f>
        <v>0</v>
      </c>
      <c r="PU29" s="3">
        <f t="shared" ref="PU29" si="88">COUNTIF(GY29:IT29,"HG")</f>
        <v>0</v>
      </c>
      <c r="PV29">
        <f t="shared" si="4"/>
        <v>0</v>
      </c>
      <c r="PW29">
        <f t="shared" ref="PW29" si="89">G29-(K29+O29+S29)</f>
        <v>6</v>
      </c>
    </row>
    <row r="30" spans="1:439" x14ac:dyDescent="0.2"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0</v>
      </c>
      <c r="C30">
        <f t="shared" ref="C30" si="91">SUM(CY30,DC30,DG30,DK30,DO30,DS30,DW30,EA30,EE30,EI30,EM30,EQ30,EU30,EY30,FC30,FG30,FK30,FO30,FS30,FW30,GA30,GE30,GI30,GM30,GQ30,GU30)</f>
        <v>0</v>
      </c>
      <c r="D30">
        <f t="shared" ref="D30" si="92">SUM(GY30,HC30,HG30,HK30,HO30,HS30,HW30,IA30,IE30,II30,IM30,IQ30)</f>
        <v>0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0</v>
      </c>
      <c r="H30" s="3">
        <f t="shared" ref="H30" si="96">COUNTIF(AI30:PR30,"T")</f>
        <v>0</v>
      </c>
      <c r="I30" s="3">
        <f t="shared" ref="I30" si="97">COUNTIF(AI30:PR30,"R")</f>
        <v>0</v>
      </c>
      <c r="J30" s="3">
        <f t="shared" ref="J30" si="98">COUNTIF(AI30:PR30,"NR")</f>
        <v>0</v>
      </c>
      <c r="K30">
        <f t="shared" ref="K30" si="99">SUM(L30:M30)</f>
        <v>0</v>
      </c>
      <c r="L30" s="3">
        <f t="shared" ref="L30" si="100">COUNTIF(CY30:GX30,"T")</f>
        <v>0</v>
      </c>
      <c r="M30" s="3">
        <f t="shared" ref="M30" si="101">COUNTIF(CY30:GX30,"R")</f>
        <v>0</v>
      </c>
      <c r="N30" s="3">
        <f t="shared" ref="N30" si="102">COUNTIF(CY30:GX30,"NR")</f>
        <v>0</v>
      </c>
      <c r="O30">
        <f t="shared" ref="O30" si="103">SUM(P30:Q30)</f>
        <v>0</v>
      </c>
      <c r="P30" s="3">
        <f t="shared" ref="P30" si="104">COUNTIF(GY30:IT30,"T")</f>
        <v>0</v>
      </c>
      <c r="Q30" s="3">
        <f t="shared" ref="Q30" si="105">COUNTIF(GY30:IT30,"R")</f>
        <v>0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0</v>
      </c>
      <c r="Z30" s="4">
        <f t="shared" si="24"/>
        <v>0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0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PS30" s="3">
        <f t="shared" ref="PS30" si="116">COUNTIF(AI30:PR30,"HG")</f>
        <v>0</v>
      </c>
      <c r="PT30" s="3">
        <f t="shared" ref="PT30" si="117">COUNTIF(CY30:GX30,"HG")</f>
        <v>0</v>
      </c>
      <c r="PU30" s="3">
        <f t="shared" ref="PU30" si="118">COUNTIF(GY30:IT30,"HG")</f>
        <v>0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121">SUM(CY31,DC31,DG31,DK31,DO31,DS31,DW31,EA31,EE31,EI31,EM31,EQ31,EU31,EY31,FC31,FG31,FK31,FO31,FS31,FW31,GA31,GE31,GI31,GM31,GQ31,GU31)</f>
        <v>0</v>
      </c>
      <c r="D31">
        <f t="shared" ref="D31" si="122">SUM(GY31,HC31,HG31,HK31,HO31,HS31,HW31,IA31,IE31,II31,IM31,IQ31)</f>
        <v>0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0</v>
      </c>
      <c r="H31" s="3">
        <f t="shared" ref="H31" si="126">COUNTIF(AI31:PR31,"T")</f>
        <v>0</v>
      </c>
      <c r="I31" s="3">
        <f t="shared" ref="I31" si="127">COUNTIF(AI31:PR31,"R")</f>
        <v>0</v>
      </c>
      <c r="J31" s="3">
        <f t="shared" ref="J31" si="128">COUNTIF(AI31:PR31,"NR")</f>
        <v>0</v>
      </c>
      <c r="K31">
        <f t="shared" ref="K31" si="129">SUM(L31:M31)</f>
        <v>0</v>
      </c>
      <c r="L31" s="3">
        <f t="shared" ref="L31" si="130">COUNTIF(CY31:GX31,"T")</f>
        <v>0</v>
      </c>
      <c r="M31" s="3">
        <f t="shared" ref="M31" si="131">COUNTIF(CY31:GX31,"R")</f>
        <v>0</v>
      </c>
      <c r="N31" s="3">
        <f t="shared" ref="N31" si="132">COUNTIF(CY31:GX31,"NR")</f>
        <v>0</v>
      </c>
      <c r="O31">
        <f t="shared" ref="O31" si="133">SUM(P31:Q31)</f>
        <v>0</v>
      </c>
      <c r="P31" s="3">
        <f t="shared" ref="P31" si="134">COUNTIF(GY31:IT31,"T")</f>
        <v>0</v>
      </c>
      <c r="Q31" s="3">
        <f t="shared" ref="Q31" si="135">COUNTIF(GY31:IT31,"R")</f>
        <v>0</v>
      </c>
      <c r="R31" s="3">
        <f t="shared" ref="R31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PS31" s="3">
        <f t="shared" ref="PS31" si="146">COUNTIF(AI31:PR31,"HG")</f>
        <v>0</v>
      </c>
      <c r="PT31" s="3">
        <f t="shared" ref="PT31" si="147">COUNTIF(CY31:GX31,"HG")</f>
        <v>0</v>
      </c>
      <c r="PU31" s="3">
        <f t="shared" ref="PU31" si="148">COUNTIF(GY31:IT31,"HG")</f>
        <v>0</v>
      </c>
      <c r="PV31">
        <f t="shared" si="4"/>
        <v>0</v>
      </c>
      <c r="PW31">
        <f t="shared" ref="PW31" si="149">G31-(K31+O31+S31)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2026-08-12T06:34:46Z</dcterms:modified>
</cp:coreProperties>
</file>