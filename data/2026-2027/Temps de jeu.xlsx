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74B33F5-5BBF-844F-8674-DC961F212F20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1" l="1"/>
  <c r="Q33" i="1"/>
  <c r="R33" i="1"/>
  <c r="PU33" i="1"/>
  <c r="P32" i="1"/>
  <c r="Q32" i="1"/>
  <c r="R32" i="1"/>
  <c r="PU3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33" i="1" l="1"/>
  <c r="O32" i="1"/>
  <c r="O31" i="1"/>
  <c r="O29" i="1"/>
  <c r="O30" i="1"/>
  <c r="S29" i="1"/>
  <c r="S31" i="1"/>
  <c r="G30" i="1"/>
  <c r="K31" i="1"/>
  <c r="S8" i="1"/>
  <c r="G31" i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30" i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<sst xmlns="http://schemas.openxmlformats.org/spreadsheetml/2006/main" count="838" uniqueCount="153">
  <si>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</si>
  <si>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</si>
  <si>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</si>
  <si>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</si>
  <si>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</si>
  <si>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</si>
  <si>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</si>
  <si>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</si>
  <si>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</si>
  <si>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</si>
  <si>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</si>
  <si>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</si>
  <si>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</si>
  <si>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</si>
  <si>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</si>
  <si>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</si>
  <si>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</si>
  <si>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</si>
  <si>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</si>
  <si>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</si>
  <si>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</si>
  <si>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</si>
  <si>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</si>
  <si>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</si>
  <si>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</si>
  <si>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</si>
  <si>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</si>
  <si>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</si>
  <si>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</si>
  <si>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</si>
  <si>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</si>
  <si>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</si>
  <si>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</si>
  <si>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</si>
  <si>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</si>
  <si>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</si>
  <si>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</si>
  <si>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</si>
  <si>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</si>
  <si>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</si>
  <si>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</si>
  <si>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</si>
  <si>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</si>
  <si>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</si>
  <si>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</si>
  <si>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</si>
  <si>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</si>
  <si>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</si>
  <si>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</si>
  <si>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</si>
  <si>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</si>
  <si>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</si>
  <si>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</si>
  <si>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</si>
  <si>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</si>
  <si>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</si>
  <si>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</si>
  <si>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</si>
  <si>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</si>
  <si>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</si>
  <si>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</si>
  <si>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</si>
  <si>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</si>
  <si>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</si>
  <si>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</si>
  <si>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</si>
  <si>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</si>
  <si>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</si>
  <si>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</si>
  <si>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</si>
  <si>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</si>
  <si>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</si>
  <si>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</si>
  <si>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</si>
  <si>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</si>
  <si>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</si>
  <si>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</si>
  <si>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</si>
  <si>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</si>
  <si>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</si>
  <si>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</si>
  <si>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</si>
  <si>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</si>
  <si>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</si>
  <si>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</si>
  <si>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</si>
  <si>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</si>
  <si>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</si>
  <si>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</si>
  <si>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</si>
  <si>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</si>
  <si>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</si>
  <si>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</si>
  <si>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</si>
  <si>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</si>
  <si>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</si>
  <si>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</si>
  <si>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</si>
  <si>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</si>
  <si>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</si>
  <si>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</si>
  <si>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</si>
  <si>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</si>
  <si>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</si>
  <si>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</si>
  <si>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</si>
  <si>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</si>
  <si>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</si>
  <si>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</si>
  <si>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</si>
  <si>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</si>
  <si>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</si>
  <si>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</si>
  <si>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</si>
  <si>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</si>
  <si>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</si>
  <si>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</si>
  <si>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</si>
  <si>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</si>
  <si>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</si>
  <si>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</si>
  <si>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</si>
  <si>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</si>
  <si>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</si>
  <si>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</si>
  <si>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</si>
  <si>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</si>
  <si>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</si>
  <si>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</si>
  <si>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</si>
  <si>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</si>
  <si>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</si>
  <si>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</si>
  <si>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</si>
  <si>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</si>
  <si>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</si>
  <si>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</si>
  <si>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</si>
  <si>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</si>
  <si>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</si>
  <si>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</si>
  <si>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</si>
  <si>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</si>
  <si>
    <t>N1J1</t>
  </si>
  <si>
    <t>N1J2</t>
  </si>
  <si>
    <t>N1J3</t>
  </si>
  <si>
    <t>N1J4</t>
  </si>
  <si>
    <t>Brian Chevreuil</t>
  </si>
  <si>
    <t>Marc Thomas</t>
  </si>
  <si>
    <t>HG</t>
  </si>
  <si>
    <t>Sofiane Belkheir</t>
  </si>
  <si>
    <t>NR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</si>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</sst>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3"/>
  <sheetViews>
    <sheetView tabSelected="1" topLeftCell="A2" workbookViewId="0">
      <pane xSplit="1" topLeftCell="HG1" activePane="topRight" state="frozen"/>
      <selection pane="topRight" activeCell="HM17" sqref="HM17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30</v>
      </c>
      <c r="B1" s="1" t="s">
        <v>72</v>
      </c>
      <c r="C1" s="1" t="s">
        <v>80</v>
      </c>
      <c r="D1" s="1" t="s">
        <v>81</v>
      </c>
      <c r="E1" s="1" t="s">
        <v>73</v>
      </c>
      <c r="F1" s="1" t="s">
        <v>82</v>
      </c>
      <c r="G1" s="1" t="s">
        <v>69</v>
      </c>
      <c r="H1" s="1" t="s">
        <v>70</v>
      </c>
      <c r="I1" s="1" t="s">
        <v>71</v>
      </c>
      <c r="J1" s="1" t="s">
        <v>90</v>
      </c>
      <c r="K1" s="1" t="s">
        <v>74</v>
      </c>
      <c r="L1" s="1" t="s">
        <v>75</v>
      </c>
      <c r="M1" s="1" t="s">
        <v>76</v>
      </c>
      <c r="N1" s="1" t="s">
        <v>91</v>
      </c>
      <c r="O1" s="1" t="s">
        <v>77</v>
      </c>
      <c r="P1" s="1" t="s">
        <v>78</v>
      </c>
      <c r="Q1" s="1" t="s">
        <v>79</v>
      </c>
      <c r="R1" s="1" t="s">
        <v>92</v>
      </c>
      <c r="S1" s="1" t="s">
        <v>83</v>
      </c>
      <c r="T1" s="1" t="s">
        <v>84</v>
      </c>
      <c r="U1" s="1" t="s">
        <v>85</v>
      </c>
      <c r="V1" s="1" t="s">
        <v>93</v>
      </c>
      <c r="W1" s="1" t="s">
        <v>65</v>
      </c>
      <c r="X1" s="1" t="s">
        <v>100</v>
      </c>
      <c r="Y1" s="1" t="s">
        <v>94</v>
      </c>
      <c r="Z1" s="1" t="s">
        <v>99</v>
      </c>
      <c r="AA1" s="1" t="s">
        <v>66</v>
      </c>
      <c r="AB1" s="1" t="s">
        <v>98</v>
      </c>
      <c r="AC1" s="1" t="s">
        <v>68</v>
      </c>
      <c r="AD1" s="1" t="s">
        <v>97</v>
      </c>
      <c r="AE1" s="1" t="s">
        <v>86</v>
      </c>
      <c r="AF1" s="1" t="s">
        <v>87</v>
      </c>
      <c r="AG1" s="1" t="s">
        <v>95</v>
      </c>
      <c r="AH1" s="1" t="s">
        <v>96</v>
      </c>
      <c r="AI1" s="1" t="s">
        <v>1</v>
      </c>
      <c r="AJ1" s="1" t="s">
        <v>88</v>
      </c>
      <c r="AK1" s="1" t="s">
        <v>89</v>
      </c>
      <c r="AL1" s="1" t="s">
        <v>67</v>
      </c>
      <c r="AM1" s="1" t="s">
        <v>0</v>
      </c>
      <c r="AN1" s="1" t="s">
        <v>88</v>
      </c>
      <c r="AO1" s="1" t="s">
        <v>89</v>
      </c>
      <c r="AP1" s="1" t="s">
        <v>67</v>
      </c>
      <c r="AQ1" s="1" t="s">
        <v>2</v>
      </c>
      <c r="AR1" s="1" t="s">
        <v>88</v>
      </c>
      <c r="AS1" s="1" t="s">
        <v>89</v>
      </c>
      <c r="AT1" s="1" t="s">
        <v>67</v>
      </c>
      <c r="AU1" s="1" t="s">
        <v>3</v>
      </c>
      <c r="AV1" s="1" t="s">
        <v>88</v>
      </c>
      <c r="AW1" s="1" t="s">
        <v>89</v>
      </c>
      <c r="AX1" s="1" t="s">
        <v>67</v>
      </c>
      <c r="AY1" s="1" t="s">
        <v>4</v>
      </c>
      <c r="AZ1" s="1" t="s">
        <v>88</v>
      </c>
      <c r="BA1" s="1" t="s">
        <v>89</v>
      </c>
      <c r="BB1" s="1" t="s">
        <v>67</v>
      </c>
      <c r="BC1" s="1" t="s">
        <v>5</v>
      </c>
      <c r="BD1" s="1" t="s">
        <v>88</v>
      </c>
      <c r="BE1" s="1" t="s">
        <v>89</v>
      </c>
      <c r="BF1" s="1" t="s">
        <v>67</v>
      </c>
      <c r="BG1" s="1" t="s">
        <v>6</v>
      </c>
      <c r="BH1" s="1" t="s">
        <v>88</v>
      </c>
      <c r="BI1" s="1" t="s">
        <v>89</v>
      </c>
      <c r="BJ1" s="1" t="s">
        <v>67</v>
      </c>
      <c r="BK1" s="1" t="s">
        <v>31</v>
      </c>
      <c r="BL1" s="1" t="s">
        <v>88</v>
      </c>
      <c r="BM1" s="1" t="s">
        <v>89</v>
      </c>
      <c r="BN1" s="1" t="s">
        <v>67</v>
      </c>
      <c r="BO1" s="1" t="s">
        <v>32</v>
      </c>
      <c r="BP1" s="1" t="s">
        <v>88</v>
      </c>
      <c r="BQ1" s="1" t="s">
        <v>89</v>
      </c>
      <c r="BR1" s="1" t="s">
        <v>67</v>
      </c>
      <c r="BS1" s="1" t="s">
        <v>33</v>
      </c>
      <c r="BT1" s="1" t="s">
        <v>88</v>
      </c>
      <c r="BU1" s="1" t="s">
        <v>89</v>
      </c>
      <c r="BV1" s="1" t="s">
        <v>67</v>
      </c>
      <c r="BW1" s="1" t="s">
        <v>34</v>
      </c>
      <c r="BX1" s="1" t="s">
        <v>88</v>
      </c>
      <c r="BY1" s="1" t="s">
        <v>89</v>
      </c>
      <c r="BZ1" s="1" t="s">
        <v>67</v>
      </c>
      <c r="CA1" s="1" t="s">
        <v>35</v>
      </c>
      <c r="CB1" s="1" t="s">
        <v>88</v>
      </c>
      <c r="CC1" s="1" t="s">
        <v>89</v>
      </c>
      <c r="CD1" s="1" t="s">
        <v>67</v>
      </c>
      <c r="CE1" s="1" t="s">
        <v>36</v>
      </c>
      <c r="CF1" s="1" t="s">
        <v>88</v>
      </c>
      <c r="CG1" s="1" t="s">
        <v>89</v>
      </c>
      <c r="CH1" s="1" t="s">
        <v>67</v>
      </c>
      <c r="CI1" s="1" t="s">
        <v>37</v>
      </c>
      <c r="CJ1" s="1" t="s">
        <v>88</v>
      </c>
      <c r="CK1" s="1" t="s">
        <v>89</v>
      </c>
      <c r="CL1" s="1" t="s">
        <v>67</v>
      </c>
      <c r="CM1" s="1" t="s">
        <v>38</v>
      </c>
      <c r="CN1" s="1" t="s">
        <v>88</v>
      </c>
      <c r="CO1" s="1" t="s">
        <v>89</v>
      </c>
      <c r="CP1" s="1" t="s">
        <v>67</v>
      </c>
      <c r="CQ1" s="1" t="s">
        <v>39</v>
      </c>
      <c r="CR1" s="1" t="s">
        <v>88</v>
      </c>
      <c r="CS1" s="1" t="s">
        <v>89</v>
      </c>
      <c r="CT1" s="1" t="s">
        <v>67</v>
      </c>
      <c r="CU1" s="1" t="s">
        <v>40</v>
      </c>
      <c r="CV1" s="1" t="s">
        <v>88</v>
      </c>
      <c r="CW1" s="1" t="s">
        <v>89</v>
      </c>
      <c r="CX1" s="1" t="s">
        <v>67</v>
      </c>
      <c r="CY1" s="1" t="s">
        <v>143</v>
      </c>
      <c r="CZ1" s="1" t="s">
        <v>88</v>
      </c>
      <c r="DA1" s="1" t="s">
        <v>89</v>
      </c>
      <c r="DB1" s="1" t="s">
        <v>67</v>
      </c>
      <c r="DC1" s="1" t="s">
        <v>144</v>
      </c>
      <c r="DD1" s="1" t="s">
        <v>88</v>
      </c>
      <c r="DE1" s="1" t="s">
        <v>89</v>
      </c>
      <c r="DF1" s="1" t="s">
        <v>67</v>
      </c>
      <c r="DG1" s="1" t="s">
        <v>145</v>
      </c>
      <c r="DH1" s="1" t="s">
        <v>88</v>
      </c>
      <c r="DI1" s="1" t="s">
        <v>89</v>
      </c>
      <c r="DJ1" s="1" t="s">
        <v>67</v>
      </c>
      <c r="DK1" s="1" t="s">
        <v>146</v>
      </c>
      <c r="DL1" s="1" t="s">
        <v>88</v>
      </c>
      <c r="DM1" s="1" t="s">
        <v>89</v>
      </c>
      <c r="DN1" s="1" t="s">
        <v>67</v>
      </c>
      <c r="DO1" s="1" t="s">
        <v>7</v>
      </c>
      <c r="DP1" s="1" t="s">
        <v>88</v>
      </c>
      <c r="DQ1" s="1" t="s">
        <v>89</v>
      </c>
      <c r="DR1" s="1" t="s">
        <v>67</v>
      </c>
      <c r="DS1" s="1" t="s">
        <v>8</v>
      </c>
      <c r="DT1" s="1" t="s">
        <v>88</v>
      </c>
      <c r="DU1" s="1" t="s">
        <v>89</v>
      </c>
      <c r="DV1" s="1" t="s">
        <v>67</v>
      </c>
      <c r="DW1" s="1" t="s">
        <v>9</v>
      </c>
      <c r="DX1" s="1" t="s">
        <v>88</v>
      </c>
      <c r="DY1" s="1" t="s">
        <v>89</v>
      </c>
      <c r="DZ1" s="1" t="s">
        <v>67</v>
      </c>
      <c r="EA1" s="1" t="s">
        <v>10</v>
      </c>
      <c r="EB1" s="1" t="s">
        <v>88</v>
      </c>
      <c r="EC1" s="1" t="s">
        <v>89</v>
      </c>
      <c r="ED1" s="1" t="s">
        <v>67</v>
      </c>
      <c r="EE1" s="1" t="s">
        <v>11</v>
      </c>
      <c r="EF1" s="1" t="s">
        <v>88</v>
      </c>
      <c r="EG1" s="1" t="s">
        <v>89</v>
      </c>
      <c r="EH1" s="1" t="s">
        <v>67</v>
      </c>
      <c r="EI1" s="1" t="s">
        <v>12</v>
      </c>
      <c r="EJ1" s="1" t="s">
        <v>88</v>
      </c>
      <c r="EK1" s="1" t="s">
        <v>89</v>
      </c>
      <c r="EL1" s="1" t="s">
        <v>67</v>
      </c>
      <c r="EM1" s="1" t="s">
        <v>13</v>
      </c>
      <c r="EN1" s="1" t="s">
        <v>88</v>
      </c>
      <c r="EO1" s="1" t="s">
        <v>89</v>
      </c>
      <c r="EP1" s="1" t="s">
        <v>67</v>
      </c>
      <c r="EQ1" s="1" t="s">
        <v>14</v>
      </c>
      <c r="ER1" s="1" t="s">
        <v>88</v>
      </c>
      <c r="ES1" s="1" t="s">
        <v>89</v>
      </c>
      <c r="ET1" s="1" t="s">
        <v>67</v>
      </c>
      <c r="EU1" s="1" t="s">
        <v>15</v>
      </c>
      <c r="EV1" s="1" t="s">
        <v>88</v>
      </c>
      <c r="EW1" s="1" t="s">
        <v>89</v>
      </c>
      <c r="EX1" s="1" t="s">
        <v>67</v>
      </c>
      <c r="EY1" s="1" t="s">
        <v>16</v>
      </c>
      <c r="EZ1" s="1" t="s">
        <v>88</v>
      </c>
      <c r="FA1" s="1" t="s">
        <v>89</v>
      </c>
      <c r="FB1" s="1" t="s">
        <v>67</v>
      </c>
      <c r="FC1" s="1" t="s">
        <v>17</v>
      </c>
      <c r="FD1" s="1" t="s">
        <v>88</v>
      </c>
      <c r="FE1" s="1" t="s">
        <v>89</v>
      </c>
      <c r="FF1" s="1" t="s">
        <v>67</v>
      </c>
      <c r="FG1" s="1" t="s">
        <v>18</v>
      </c>
      <c r="FH1" s="1" t="s">
        <v>88</v>
      </c>
      <c r="FI1" s="1" t="s">
        <v>89</v>
      </c>
      <c r="FJ1" s="1" t="s">
        <v>67</v>
      </c>
      <c r="FK1" s="1" t="s">
        <v>19</v>
      </c>
      <c r="FL1" s="1" t="s">
        <v>88</v>
      </c>
      <c r="FM1" s="1" t="s">
        <v>89</v>
      </c>
      <c r="FN1" s="1" t="s">
        <v>67</v>
      </c>
      <c r="FO1" s="1" t="s">
        <v>20</v>
      </c>
      <c r="FP1" s="1" t="s">
        <v>88</v>
      </c>
      <c r="FQ1" s="1" t="s">
        <v>89</v>
      </c>
      <c r="FR1" s="1" t="s">
        <v>67</v>
      </c>
      <c r="FS1" s="1" t="s">
        <v>21</v>
      </c>
      <c r="FT1" s="1" t="s">
        <v>88</v>
      </c>
      <c r="FU1" s="1" t="s">
        <v>89</v>
      </c>
      <c r="FV1" s="1" t="s">
        <v>67</v>
      </c>
      <c r="FW1" s="1" t="s">
        <v>22</v>
      </c>
      <c r="FX1" s="1" t="s">
        <v>88</v>
      </c>
      <c r="FY1" s="1" t="s">
        <v>89</v>
      </c>
      <c r="FZ1" s="1" t="s">
        <v>67</v>
      </c>
      <c r="GA1" s="1" t="s">
        <v>23</v>
      </c>
      <c r="GB1" s="1" t="s">
        <v>88</v>
      </c>
      <c r="GC1" s="1" t="s">
        <v>89</v>
      </c>
      <c r="GD1" s="1" t="s">
        <v>67</v>
      </c>
      <c r="GE1" s="1" t="s">
        <v>24</v>
      </c>
      <c r="GF1" s="1" t="s">
        <v>88</v>
      </c>
      <c r="GG1" s="1" t="s">
        <v>89</v>
      </c>
      <c r="GH1" s="1" t="s">
        <v>67</v>
      </c>
      <c r="GI1" s="1" t="s">
        <v>25</v>
      </c>
      <c r="GJ1" s="1" t="s">
        <v>88</v>
      </c>
      <c r="GK1" s="1" t="s">
        <v>89</v>
      </c>
      <c r="GL1" s="1" t="s">
        <v>67</v>
      </c>
      <c r="GM1" s="1" t="s">
        <v>26</v>
      </c>
      <c r="GN1" s="1" t="s">
        <v>88</v>
      </c>
      <c r="GO1" s="1" t="s">
        <v>89</v>
      </c>
      <c r="GP1" s="1" t="s">
        <v>67</v>
      </c>
      <c r="GQ1" s="1" t="s">
        <v>27</v>
      </c>
      <c r="GR1" s="1" t="s">
        <v>88</v>
      </c>
      <c r="GS1" s="1" t="s">
        <v>89</v>
      </c>
      <c r="GT1" s="1" t="s">
        <v>67</v>
      </c>
      <c r="GU1" s="1" t="s">
        <v>28</v>
      </c>
      <c r="GV1" s="1" t="s">
        <v>88</v>
      </c>
      <c r="GW1" s="1" t="s">
        <v>89</v>
      </c>
      <c r="GX1" s="1" t="s">
        <v>67</v>
      </c>
      <c r="GY1" s="1" t="s">
        <v>116</v>
      </c>
      <c r="GZ1" s="1" t="s">
        <v>88</v>
      </c>
      <c r="HA1" s="1" t="s">
        <v>89</v>
      </c>
      <c r="HB1" s="1" t="s">
        <v>67</v>
      </c>
      <c r="HC1" s="1" t="s">
        <v>117</v>
      </c>
      <c r="HD1" s="1" t="s">
        <v>88</v>
      </c>
      <c r="HE1" s="1" t="s">
        <v>89</v>
      </c>
      <c r="HF1" s="1" t="s">
        <v>67</v>
      </c>
      <c r="HG1" s="1" t="s">
        <v>118</v>
      </c>
      <c r="HH1" s="1" t="s">
        <v>88</v>
      </c>
      <c r="HI1" s="1" t="s">
        <v>89</v>
      </c>
      <c r="HJ1" s="1" t="s">
        <v>67</v>
      </c>
      <c r="HK1" s="1" t="s">
        <v>119</v>
      </c>
      <c r="HL1" s="1" t="s">
        <v>88</v>
      </c>
      <c r="HM1" s="1" t="s">
        <v>89</v>
      </c>
      <c r="HN1" s="1" t="s">
        <v>67</v>
      </c>
      <c r="HO1" s="1" t="s">
        <v>120</v>
      </c>
      <c r="HP1" s="1" t="s">
        <v>88</v>
      </c>
      <c r="HQ1" s="1" t="s">
        <v>89</v>
      </c>
      <c r="HR1" s="1" t="s">
        <v>67</v>
      </c>
      <c r="HS1" s="1" t="s">
        <v>121</v>
      </c>
      <c r="HT1" s="1" t="s">
        <v>88</v>
      </c>
      <c r="HU1" s="1" t="s">
        <v>89</v>
      </c>
      <c r="HV1" s="1" t="s">
        <v>67</v>
      </c>
      <c r="HW1" s="1" t="s">
        <v>122</v>
      </c>
      <c r="HX1" s="1" t="s">
        <v>88</v>
      </c>
      <c r="HY1" s="1" t="s">
        <v>89</v>
      </c>
      <c r="HZ1" s="1" t="s">
        <v>67</v>
      </c>
      <c r="IA1" s="1" t="s">
        <v>29</v>
      </c>
      <c r="IB1" s="1" t="s">
        <v>88</v>
      </c>
      <c r="IC1" s="1" t="s">
        <v>89</v>
      </c>
      <c r="ID1" s="1" t="s">
        <v>67</v>
      </c>
      <c r="IE1" s="1" t="s">
        <v>29</v>
      </c>
      <c r="IF1" s="1" t="s">
        <v>88</v>
      </c>
      <c r="IG1" s="1" t="s">
        <v>89</v>
      </c>
      <c r="IH1" s="1" t="s">
        <v>67</v>
      </c>
      <c r="II1" s="1" t="s">
        <v>29</v>
      </c>
      <c r="IJ1" s="1" t="s">
        <v>88</v>
      </c>
      <c r="IK1" s="1" t="s">
        <v>89</v>
      </c>
      <c r="IL1" s="1" t="s">
        <v>67</v>
      </c>
      <c r="IM1" s="1" t="s">
        <v>29</v>
      </c>
      <c r="IN1" s="1" t="s">
        <v>88</v>
      </c>
      <c r="IO1" s="1" t="s">
        <v>89</v>
      </c>
      <c r="IP1" s="1" t="s">
        <v>67</v>
      </c>
      <c r="IQ1" s="1" t="s">
        <v>29</v>
      </c>
      <c r="IR1" s="1" t="s">
        <v>88</v>
      </c>
      <c r="IS1" s="1" t="s">
        <v>89</v>
      </c>
      <c r="IT1" s="1" t="s">
        <v>67</v>
      </c>
      <c r="IU1" s="2" t="s">
        <v>41</v>
      </c>
      <c r="IV1" s="1" t="s">
        <v>88</v>
      </c>
      <c r="IW1" s="1" t="s">
        <v>89</v>
      </c>
      <c r="IX1" s="1" t="s">
        <v>67</v>
      </c>
      <c r="IY1" s="1" t="s">
        <v>42</v>
      </c>
      <c r="IZ1" s="1" t="s">
        <v>88</v>
      </c>
      <c r="JA1" s="1" t="s">
        <v>89</v>
      </c>
      <c r="JB1" s="1" t="s">
        <v>67</v>
      </c>
      <c r="JC1" s="2" t="s">
        <v>43</v>
      </c>
      <c r="JD1" s="1" t="s">
        <v>88</v>
      </c>
      <c r="JE1" s="1" t="s">
        <v>89</v>
      </c>
      <c r="JF1" s="1" t="s">
        <v>67</v>
      </c>
      <c r="JG1" s="1" t="s">
        <v>44</v>
      </c>
      <c r="JH1" s="1" t="s">
        <v>88</v>
      </c>
      <c r="JI1" s="1" t="s">
        <v>89</v>
      </c>
      <c r="JJ1" s="1" t="s">
        <v>67</v>
      </c>
      <c r="JK1" s="2" t="s">
        <v>45</v>
      </c>
      <c r="JL1" s="1" t="s">
        <v>88</v>
      </c>
      <c r="JM1" s="1" t="s">
        <v>89</v>
      </c>
      <c r="JN1" s="1" t="s">
        <v>67</v>
      </c>
      <c r="JO1" s="1" t="s">
        <v>46</v>
      </c>
      <c r="JP1" s="1" t="s">
        <v>88</v>
      </c>
      <c r="JQ1" s="1" t="s">
        <v>89</v>
      </c>
      <c r="JR1" s="1" t="s">
        <v>67</v>
      </c>
      <c r="JS1" s="2" t="s">
        <v>47</v>
      </c>
      <c r="JT1" s="1" t="s">
        <v>88</v>
      </c>
      <c r="JU1" s="1" t="s">
        <v>89</v>
      </c>
      <c r="JV1" s="1" t="s">
        <v>67</v>
      </c>
      <c r="JW1" s="1" t="s">
        <v>48</v>
      </c>
      <c r="JX1" s="1" t="s">
        <v>88</v>
      </c>
      <c r="JY1" s="1" t="s">
        <v>89</v>
      </c>
      <c r="JZ1" s="1" t="s">
        <v>67</v>
      </c>
      <c r="KA1" s="2" t="s">
        <v>49</v>
      </c>
      <c r="KB1" s="1" t="s">
        <v>88</v>
      </c>
      <c r="KC1" s="1" t="s">
        <v>89</v>
      </c>
      <c r="KD1" s="1" t="s">
        <v>67</v>
      </c>
      <c r="KE1" s="1" t="s">
        <v>50</v>
      </c>
      <c r="KF1" s="1" t="s">
        <v>88</v>
      </c>
      <c r="KG1" s="1" t="s">
        <v>89</v>
      </c>
      <c r="KH1" s="1" t="s">
        <v>67</v>
      </c>
      <c r="KI1" s="2" t="s">
        <v>51</v>
      </c>
      <c r="KJ1" s="1" t="s">
        <v>88</v>
      </c>
      <c r="KK1" s="1" t="s">
        <v>89</v>
      </c>
      <c r="KL1" s="1" t="s">
        <v>67</v>
      </c>
      <c r="KM1" s="1" t="s">
        <v>52</v>
      </c>
      <c r="KN1" s="1" t="s">
        <v>88</v>
      </c>
      <c r="KO1" s="1" t="s">
        <v>89</v>
      </c>
      <c r="KP1" s="1" t="s">
        <v>67</v>
      </c>
      <c r="KQ1" s="2" t="s">
        <v>53</v>
      </c>
      <c r="KR1" s="1" t="s">
        <v>88</v>
      </c>
      <c r="KS1" s="1" t="s">
        <v>89</v>
      </c>
      <c r="KT1" s="1" t="s">
        <v>67</v>
      </c>
      <c r="KU1" s="1" t="s">
        <v>54</v>
      </c>
      <c r="KV1" s="1" t="s">
        <v>88</v>
      </c>
      <c r="KW1" s="1" t="s">
        <v>89</v>
      </c>
      <c r="KX1" s="1" t="s">
        <v>67</v>
      </c>
      <c r="KY1" s="2" t="s">
        <v>55</v>
      </c>
      <c r="KZ1" s="1" t="s">
        <v>88</v>
      </c>
      <c r="LA1" s="1" t="s">
        <v>89</v>
      </c>
      <c r="LB1" s="1" t="s">
        <v>67</v>
      </c>
      <c r="LC1" s="1" t="s">
        <v>56</v>
      </c>
      <c r="LD1" s="1" t="s">
        <v>88</v>
      </c>
      <c r="LE1" s="1" t="s">
        <v>89</v>
      </c>
      <c r="LF1" s="1" t="s">
        <v>67</v>
      </c>
      <c r="LG1" s="2" t="s">
        <v>57</v>
      </c>
      <c r="LH1" s="1" t="s">
        <v>88</v>
      </c>
      <c r="LI1" s="1" t="s">
        <v>89</v>
      </c>
      <c r="LJ1" s="1" t="s">
        <v>67</v>
      </c>
      <c r="LK1" s="1" t="s">
        <v>58</v>
      </c>
      <c r="LL1" s="1" t="s">
        <v>88</v>
      </c>
      <c r="LM1" s="1" t="s">
        <v>89</v>
      </c>
      <c r="LN1" s="1" t="s">
        <v>67</v>
      </c>
      <c r="LO1" s="2" t="s">
        <v>59</v>
      </c>
      <c r="LP1" s="1" t="s">
        <v>88</v>
      </c>
      <c r="LQ1" s="1" t="s">
        <v>89</v>
      </c>
      <c r="LR1" s="1" t="s">
        <v>67</v>
      </c>
      <c r="LS1" s="1" t="s">
        <v>60</v>
      </c>
      <c r="LT1" s="1" t="s">
        <v>88</v>
      </c>
      <c r="LU1" s="1" t="s">
        <v>89</v>
      </c>
      <c r="LV1" s="1" t="s">
        <v>67</v>
      </c>
      <c r="LW1" s="2" t="s">
        <v>61</v>
      </c>
      <c r="LX1" s="1" t="s">
        <v>88</v>
      </c>
      <c r="LY1" s="1" t="s">
        <v>89</v>
      </c>
      <c r="LZ1" s="1" t="s">
        <v>67</v>
      </c>
      <c r="MA1" s="1" t="s">
        <v>62</v>
      </c>
      <c r="MB1" s="1" t="s">
        <v>88</v>
      </c>
      <c r="MC1" s="1" t="s">
        <v>89</v>
      </c>
      <c r="MD1" s="1" t="s">
        <v>67</v>
      </c>
      <c r="ME1" s="1" t="s">
        <v>63</v>
      </c>
      <c r="MF1" s="1" t="s">
        <v>88</v>
      </c>
      <c r="MG1" s="1" t="s">
        <v>89</v>
      </c>
      <c r="MH1" s="1" t="s">
        <v>67</v>
      </c>
      <c r="MI1" s="1" t="s">
        <v>63</v>
      </c>
      <c r="MJ1" s="1" t="s">
        <v>88</v>
      </c>
      <c r="MK1" s="1" t="s">
        <v>89</v>
      </c>
      <c r="ML1" s="1" t="s">
        <v>67</v>
      </c>
      <c r="MM1" s="1" t="s">
        <v>63</v>
      </c>
      <c r="MN1" s="1" t="s">
        <v>88</v>
      </c>
      <c r="MO1" s="1" t="s">
        <v>89</v>
      </c>
      <c r="MP1" s="1" t="s">
        <v>67</v>
      </c>
      <c r="MQ1" s="1" t="s">
        <v>63</v>
      </c>
      <c r="MR1" s="1" t="s">
        <v>88</v>
      </c>
      <c r="MS1" s="1" t="s">
        <v>89</v>
      </c>
      <c r="MT1" s="1" t="s">
        <v>67</v>
      </c>
      <c r="MU1" s="1" t="s">
        <v>63</v>
      </c>
      <c r="MV1" s="1" t="s">
        <v>88</v>
      </c>
      <c r="MW1" s="1" t="s">
        <v>89</v>
      </c>
      <c r="MX1" s="1" t="s">
        <v>67</v>
      </c>
      <c r="MY1" s="1" t="s">
        <v>63</v>
      </c>
      <c r="MZ1" s="1" t="s">
        <v>88</v>
      </c>
      <c r="NA1" s="1" t="s">
        <v>89</v>
      </c>
      <c r="NB1" s="1" t="s">
        <v>67</v>
      </c>
      <c r="NC1" s="1" t="s">
        <v>63</v>
      </c>
      <c r="ND1" s="1" t="s">
        <v>88</v>
      </c>
      <c r="NE1" s="1" t="s">
        <v>89</v>
      </c>
      <c r="NF1" s="1" t="s">
        <v>67</v>
      </c>
      <c r="NG1" s="1" t="s">
        <v>63</v>
      </c>
      <c r="NH1" s="1" t="s">
        <v>88</v>
      </c>
      <c r="NI1" s="1" t="s">
        <v>89</v>
      </c>
      <c r="NJ1" s="1" t="s">
        <v>67</v>
      </c>
      <c r="NK1" s="1" t="s">
        <v>63</v>
      </c>
      <c r="NL1" s="1" t="s">
        <v>88</v>
      </c>
      <c r="NM1" s="1" t="s">
        <v>89</v>
      </c>
      <c r="NN1" s="1" t="s">
        <v>67</v>
      </c>
      <c r="NO1" s="1" t="s">
        <v>63</v>
      </c>
      <c r="NP1" s="1" t="s">
        <v>88</v>
      </c>
      <c r="NQ1" s="1" t="s">
        <v>89</v>
      </c>
      <c r="NR1" s="1" t="s">
        <v>67</v>
      </c>
      <c r="NS1" s="1" t="s">
        <v>63</v>
      </c>
      <c r="NT1" s="1" t="s">
        <v>88</v>
      </c>
      <c r="NU1" s="1" t="s">
        <v>89</v>
      </c>
      <c r="NV1" s="1" t="s">
        <v>67</v>
      </c>
      <c r="NW1" s="1" t="s">
        <v>64</v>
      </c>
      <c r="NX1" s="1" t="s">
        <v>88</v>
      </c>
      <c r="NY1" s="1" t="s">
        <v>89</v>
      </c>
      <c r="NZ1" s="1" t="s">
        <v>67</v>
      </c>
      <c r="OA1" s="1" t="s">
        <v>64</v>
      </c>
      <c r="OB1" s="1" t="s">
        <v>88</v>
      </c>
      <c r="OC1" s="1" t="s">
        <v>89</v>
      </c>
      <c r="OD1" s="1" t="s">
        <v>67</v>
      </c>
      <c r="OE1" s="1" t="s">
        <v>64</v>
      </c>
      <c r="OF1" s="1" t="s">
        <v>88</v>
      </c>
      <c r="OG1" s="1" t="s">
        <v>89</v>
      </c>
      <c r="OH1" s="1" t="s">
        <v>67</v>
      </c>
      <c r="OI1" s="1" t="s">
        <v>64</v>
      </c>
      <c r="OJ1" s="1" t="s">
        <v>88</v>
      </c>
      <c r="OK1" s="1" t="s">
        <v>89</v>
      </c>
      <c r="OL1" s="1" t="s">
        <v>67</v>
      </c>
      <c r="OM1" s="1" t="s">
        <v>64</v>
      </c>
      <c r="ON1" s="1" t="s">
        <v>88</v>
      </c>
      <c r="OO1" s="1" t="s">
        <v>89</v>
      </c>
      <c r="OP1" s="1" t="s">
        <v>67</v>
      </c>
      <c r="OQ1" s="1" t="s">
        <v>64</v>
      </c>
      <c r="OR1" s="1" t="s">
        <v>88</v>
      </c>
      <c r="OS1" s="1" t="s">
        <v>89</v>
      </c>
      <c r="OT1" s="1" t="s">
        <v>67</v>
      </c>
      <c r="OU1" s="1" t="s">
        <v>64</v>
      </c>
      <c r="OV1" s="1" t="s">
        <v>88</v>
      </c>
      <c r="OW1" s="1" t="s">
        <v>89</v>
      </c>
      <c r="OX1" s="1" t="s">
        <v>67</v>
      </c>
      <c r="OY1" s="1" t="s">
        <v>64</v>
      </c>
      <c r="OZ1" s="1" t="s">
        <v>88</v>
      </c>
      <c r="PA1" s="1" t="s">
        <v>89</v>
      </c>
      <c r="PB1" s="1" t="s">
        <v>67</v>
      </c>
      <c r="PC1" s="1" t="s">
        <v>64</v>
      </c>
      <c r="PD1" s="1" t="s">
        <v>88</v>
      </c>
      <c r="PE1" s="1" t="s">
        <v>89</v>
      </c>
      <c r="PF1" s="1" t="s">
        <v>67</v>
      </c>
      <c r="PG1" s="1" t="s">
        <v>64</v>
      </c>
      <c r="PH1" s="1" t="s">
        <v>88</v>
      </c>
      <c r="PI1" s="1" t="s">
        <v>89</v>
      </c>
      <c r="PJ1" s="1" t="s">
        <v>67</v>
      </c>
      <c r="PK1" s="1" t="s">
        <v>64</v>
      </c>
      <c r="PL1" s="1" t="s">
        <v>88</v>
      </c>
      <c r="PM1" s="1" t="s">
        <v>89</v>
      </c>
      <c r="PN1" s="1" t="s">
        <v>67</v>
      </c>
      <c r="PO1" s="1" t="s">
        <v>64</v>
      </c>
      <c r="PP1" s="1" t="s">
        <v>88</v>
      </c>
      <c r="PQ1" s="1" t="s">
        <v>89</v>
      </c>
      <c r="PR1" s="1" t="s">
        <v>67</v>
      </c>
      <c r="PS1" s="1" t="s">
        <v>101</v>
      </c>
      <c r="PT1" s="1" t="s">
        <v>102</v>
      </c>
      <c r="PU1" s="1" t="s">
        <v>103</v>
      </c>
      <c r="PV1" s="1" t="s">
        <v>104</v>
      </c>
      <c r="PW1" s="1" t="s">
        <v>105</v>
      </c>
    </row>
    <row r="2" spans="1:439" ht="21" customHeight="1" x14ac:dyDescent="0.2">
      <c r="A2" t="s">
        <v>106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690</v>
      </c>
      <c r="C2">
        <f>SUM(CY2,DC2,DG2,DK2,DO2,DS2,DW2,EA2,EE2,EI2,EM2,EQ2,EU2,EY2,FC2,FG2,FK2,FO2,FS2,FW2,GA2,GE2,GI2,GM2,GQ2,GU2)</f>
        <v>360</v>
      </c>
      <c r="D2">
        <f>SUM(GY2,HC2,HG2,HK2,HO2,HS2,HW2,IA2,IE2,II2,IM2,IQ2)</f>
        <v>90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8</v>
      </c>
      <c r="H2" s="3">
        <f>COUNTIF(AI2:PR2,"T")</f>
        <v>8</v>
      </c>
      <c r="I2" s="3">
        <f>COUNTIF(AI2:PR2,"R")</f>
        <v>0</v>
      </c>
      <c r="J2" s="3">
        <f>COUNTIF(AI2:PR2,"NR")</f>
        <v>1</v>
      </c>
      <c r="K2">
        <f>SUM(L2:M2)</f>
        <v>4</v>
      </c>
      <c r="L2" s="3">
        <f>COUNTIF(CY2:GX2,"T")</f>
        <v>4</v>
      </c>
      <c r="M2" s="3">
        <f>COUNTIF(CY2:GX2,"R")</f>
        <v>0</v>
      </c>
      <c r="N2" s="3">
        <f>COUNTIF(CY2:GX2,"NR")</f>
        <v>0</v>
      </c>
      <c r="O2">
        <f>SUM(P2:Q2)</f>
        <v>1</v>
      </c>
      <c r="P2" s="3">
        <f>COUNTIF(GY2:IT2,"T")</f>
        <v>1</v>
      </c>
      <c r="Q2" s="3">
        <f>COUNTIF(GY2:IT2,"R")</f>
        <v>0</v>
      </c>
      <c r="R2" s="3">
        <f>COUNTIF(GY2:IT2,"NR")</f>
        <v>1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141</v>
      </c>
      <c r="AU2">
        <v>90</v>
      </c>
      <c r="AV2" t="s">
        <v>141</v>
      </c>
      <c r="AY2">
        <v>90</v>
      </c>
      <c r="AZ2" t="s">
        <v>141</v>
      </c>
      <c r="CZ2" t="s">
        <v>149</v>
      </c>
      <c r="DD2" t="s">
        <v>149</v>
      </c>
      <c r="DG2">
        <v>90</v>
      </c>
      <c r="DH2" t="s">
        <v>141</v>
      </c>
      <c r="DK2">
        <v>90</v>
      </c>
      <c r="DL2" t="s">
        <v>141</v>
      </c>
      <c r="DO2">
        <v>90</v>
      </c>
      <c r="DP2" t="s">
        <v>141</v>
      </c>
      <c r="DS2">
        <v>90</v>
      </c>
      <c r="DT2" t="s">
        <v>141</v>
      </c>
      <c r="HD2" t="s">
        <v>151</v>
      </c>
      <c r="HG2">
        <v>90</v>
      </c>
      <c r="HH2" t="s">
        <v>141</v>
      </c>
      <c r="PS2" s="3">
        <f>COUNTIF(AI2:PR2,"HG")</f>
        <v>2</v>
      </c>
      <c r="PT2" s="3">
        <f>COUNTIF(CY2:GX2,"HG")</f>
        <v>2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107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270</v>
      </c>
      <c r="C3">
        <f t="shared" ref="C3:C28" si="5">SUM(CY3,DC3,DG3,DK3,DO3,DS3,DW3,EA3,EE3,EI3,EM3,EQ3,EU3,EY3,FC3,FG3,FK3,FO3,FS3,FW3,GA3,GE3,GI3,GM3,GQ3,GU3)</f>
        <v>180</v>
      </c>
      <c r="D3">
        <f t="shared" ref="D3:D28" si="6">SUM(GY3,HC3,HG3,HK3,HO3,HS3,HW3,IA3,IE3,II3,IM3,IQ3)</f>
        <v>90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3</v>
      </c>
      <c r="H3" s="3">
        <f t="shared" ref="H3:H28" si="10">COUNTIF(AI3:PR3,"T")</f>
        <v>3</v>
      </c>
      <c r="I3" s="3">
        <f t="shared" ref="I3:I28" si="11">COUNTIF(AI3:PR3,"R")</f>
        <v>0</v>
      </c>
      <c r="J3" s="3">
        <f t="shared" ref="J3:J28" si="12">COUNTIF(AI3:PR3,"NR")</f>
        <v>1</v>
      </c>
      <c r="K3">
        <f t="shared" ref="K3:K28" si="13">SUM(L3:M3)</f>
        <v>2</v>
      </c>
      <c r="L3" s="3">
        <f t="shared" ref="L3:L28" si="14">COUNTIF(CY3:GX3,"T")</f>
        <v>2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1</v>
      </c>
      <c r="P3" s="3">
        <f t="shared" ref="P3:P28" si="18">COUNTIF(GY3:IT3,"T")</f>
        <v>1</v>
      </c>
      <c r="Q3" s="3">
        <f t="shared" ref="Q3:Q28" si="19">COUNTIF(GY3:IT3,"R")</f>
        <v>0</v>
      </c>
      <c r="R3" s="3">
        <f t="shared" ref="R3:R28" si="20">COUNTIF(GY3:IT3,"NR")</f>
        <v>1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CY3">
        <v>90</v>
      </c>
      <c r="CZ3" t="s">
        <v>141</v>
      </c>
      <c r="DC3">
        <v>90</v>
      </c>
      <c r="DD3" t="s">
        <v>141</v>
      </c>
      <c r="DH3" t="s">
        <v>149</v>
      </c>
      <c r="DL3" t="s">
        <v>149</v>
      </c>
      <c r="DP3" t="s">
        <v>149</v>
      </c>
      <c r="DT3" t="s">
        <v>149</v>
      </c>
      <c r="HC3">
        <v>90</v>
      </c>
      <c r="HD3" t="s">
        <v>141</v>
      </c>
      <c r="HH3" t="s">
        <v>151</v>
      </c>
      <c r="PS3" s="3">
        <f t="shared" ref="PS3:PS28" si="32">COUNTIF(AI3:PR3,"HG")</f>
        <v>4</v>
      </c>
      <c r="PT3" s="3">
        <f t="shared" ref="PT3:PT28" si="33">COUNTIF(CY3:GX3,"HG")</f>
        <v>4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124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141</v>
      </c>
      <c r="AM4">
        <v>45</v>
      </c>
      <c r="AN4" t="s">
        <v>141</v>
      </c>
      <c r="AQ4">
        <v>30</v>
      </c>
      <c r="AR4" t="s">
        <v>142</v>
      </c>
      <c r="BC4">
        <v>70</v>
      </c>
      <c r="BD4" t="s">
        <v>141</v>
      </c>
      <c r="CZ4" t="s">
        <v>149</v>
      </c>
      <c r="DD4" t="s">
        <v>149</v>
      </c>
      <c r="DH4" t="s">
        <v>149</v>
      </c>
      <c r="DL4" t="s">
        <v>149</v>
      </c>
      <c r="DP4" t="s">
        <v>149</v>
      </c>
      <c r="DT4" t="s">
        <v>149</v>
      </c>
      <c r="HD4" t="s">
        <v>149</v>
      </c>
      <c r="HH4" t="s">
        <v>149</v>
      </c>
      <c r="PS4" s="3">
        <f t="shared" ref="PS4" si="57">COUNTIF(AI4:PR4,"HG")</f>
        <v>8</v>
      </c>
      <c r="PT4" s="3">
        <f t="shared" ref="PT4" si="58">COUNTIF(CY4:GX4,"HG")</f>
        <v>6</v>
      </c>
      <c r="PU4" s="3">
        <f t="shared" ref="PU4" si="59">COUNTIF(GY4:IT4,"HG")</f>
        <v>2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108</v>
      </c>
      <c r="B5">
        <f t="shared" si="36"/>
        <v>707</v>
      </c>
      <c r="C5">
        <f t="shared" si="5"/>
        <v>257</v>
      </c>
      <c r="D5">
        <f t="shared" si="6"/>
        <v>180</v>
      </c>
      <c r="E5">
        <f t="shared" si="7"/>
        <v>0</v>
      </c>
      <c r="F5">
        <f t="shared" si="8"/>
        <v>270</v>
      </c>
      <c r="G5">
        <f t="shared" si="9"/>
        <v>10</v>
      </c>
      <c r="H5" s="3">
        <f t="shared" si="10"/>
        <v>9</v>
      </c>
      <c r="I5" s="3">
        <f t="shared" si="11"/>
        <v>1</v>
      </c>
      <c r="J5" s="3">
        <f t="shared" si="12"/>
        <v>1</v>
      </c>
      <c r="K5">
        <f t="shared" si="13"/>
        <v>4</v>
      </c>
      <c r="L5" s="3">
        <f t="shared" si="14"/>
        <v>3</v>
      </c>
      <c r="M5" s="3">
        <f t="shared" si="15"/>
        <v>1</v>
      </c>
      <c r="N5" s="3">
        <f t="shared" si="16"/>
        <v>1</v>
      </c>
      <c r="O5">
        <f t="shared" si="17"/>
        <v>2</v>
      </c>
      <c r="P5" s="3">
        <f t="shared" si="18"/>
        <v>2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141</v>
      </c>
      <c r="AQ5">
        <v>60</v>
      </c>
      <c r="AR5" t="s">
        <v>141</v>
      </c>
      <c r="AU5">
        <v>75</v>
      </c>
      <c r="AV5" t="s">
        <v>141</v>
      </c>
      <c r="AY5">
        <v>90</v>
      </c>
      <c r="AZ5" t="s">
        <v>141</v>
      </c>
      <c r="CY5">
        <v>90</v>
      </c>
      <c r="CZ5" t="s">
        <v>141</v>
      </c>
      <c r="DC5">
        <v>73</v>
      </c>
      <c r="DD5" t="s">
        <v>141</v>
      </c>
      <c r="DG5">
        <v>90</v>
      </c>
      <c r="DH5" t="s">
        <v>141</v>
      </c>
      <c r="DL5" t="s">
        <v>151</v>
      </c>
      <c r="DP5" t="s">
        <v>149</v>
      </c>
      <c r="DS5">
        <v>4</v>
      </c>
      <c r="DT5" t="s">
        <v>142</v>
      </c>
      <c r="HC5">
        <v>90</v>
      </c>
      <c r="HD5" t="s">
        <v>141</v>
      </c>
      <c r="HG5">
        <v>90</v>
      </c>
      <c r="HH5" t="s">
        <v>141</v>
      </c>
      <c r="PS5" s="3">
        <f t="shared" si="32"/>
        <v>1</v>
      </c>
      <c r="PT5" s="3">
        <f t="shared" si="33"/>
        <v>1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125</v>
      </c>
      <c r="B6">
        <f t="shared" si="36"/>
        <v>619</v>
      </c>
      <c r="C6">
        <f t="shared" si="5"/>
        <v>291</v>
      </c>
      <c r="D6">
        <f t="shared" si="6"/>
        <v>98</v>
      </c>
      <c r="E6">
        <f t="shared" si="7"/>
        <v>0</v>
      </c>
      <c r="F6">
        <f t="shared" si="8"/>
        <v>230</v>
      </c>
      <c r="G6">
        <f t="shared" si="9"/>
        <v>13</v>
      </c>
      <c r="H6" s="3">
        <f t="shared" si="10"/>
        <v>6</v>
      </c>
      <c r="I6" s="3">
        <f t="shared" si="11"/>
        <v>7</v>
      </c>
      <c r="J6" s="3">
        <f t="shared" si="12"/>
        <v>1</v>
      </c>
      <c r="K6">
        <f t="shared" si="13"/>
        <v>5</v>
      </c>
      <c r="L6" s="3">
        <f t="shared" si="14"/>
        <v>3</v>
      </c>
      <c r="M6" s="3">
        <f t="shared" si="15"/>
        <v>2</v>
      </c>
      <c r="N6" s="3">
        <f t="shared" si="16"/>
        <v>1</v>
      </c>
      <c r="O6">
        <f t="shared" si="17"/>
        <v>2</v>
      </c>
      <c r="P6" s="3">
        <f t="shared" si="18"/>
        <v>1</v>
      </c>
      <c r="Q6" s="3">
        <f t="shared" si="19"/>
        <v>1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142</v>
      </c>
      <c r="AM6">
        <v>45</v>
      </c>
      <c r="AN6" t="s">
        <v>141</v>
      </c>
      <c r="AQ6">
        <v>30</v>
      </c>
      <c r="AR6" t="s">
        <v>142</v>
      </c>
      <c r="AU6">
        <v>15</v>
      </c>
      <c r="AV6" t="s">
        <v>142</v>
      </c>
      <c r="AY6">
        <v>60</v>
      </c>
      <c r="AZ6" t="s">
        <v>141</v>
      </c>
      <c r="BC6">
        <v>35</v>
      </c>
      <c r="BD6" t="s">
        <v>142</v>
      </c>
      <c r="CY6">
        <v>12</v>
      </c>
      <c r="CZ6" t="s">
        <v>142</v>
      </c>
      <c r="DC6">
        <v>17</v>
      </c>
      <c r="DD6" t="s">
        <v>142</v>
      </c>
      <c r="DH6" t="s">
        <v>151</v>
      </c>
      <c r="DK6">
        <v>82</v>
      </c>
      <c r="DL6" t="s">
        <v>141</v>
      </c>
      <c r="DO6">
        <v>90</v>
      </c>
      <c r="DP6" t="s">
        <v>141</v>
      </c>
      <c r="DS6">
        <v>90</v>
      </c>
      <c r="DT6" t="s">
        <v>141</v>
      </c>
      <c r="HC6">
        <v>90</v>
      </c>
      <c r="HD6" t="s">
        <v>141</v>
      </c>
      <c r="HG6">
        <v>8</v>
      </c>
      <c r="HH6" t="s">
        <v>142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126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141</v>
      </c>
      <c r="CZ7" t="s">
        <v>149</v>
      </c>
      <c r="DD7" t="s">
        <v>149</v>
      </c>
      <c r="DH7" t="s">
        <v>149</v>
      </c>
      <c r="DL7" t="s">
        <v>149</v>
      </c>
      <c r="DP7" t="s">
        <v>149</v>
      </c>
      <c r="DT7" t="s">
        <v>149</v>
      </c>
      <c r="HD7" t="s">
        <v>149</v>
      </c>
      <c r="HH7" t="s">
        <v>149</v>
      </c>
      <c r="PS7" s="3">
        <f t="shared" si="32"/>
        <v>8</v>
      </c>
      <c r="PT7" s="3">
        <f t="shared" si="33"/>
        <v>6</v>
      </c>
      <c r="PU7" s="3">
        <f t="shared" si="34"/>
        <v>2</v>
      </c>
      <c r="PV7">
        <f t="shared" si="4"/>
        <v>0</v>
      </c>
      <c r="PW7">
        <f t="shared" si="35"/>
        <v>1</v>
      </c>
    </row>
    <row r="8" spans="1:439" x14ac:dyDescent="0.2">
      <c r="A8" t="s">
        <v>127</v>
      </c>
      <c r="B8">
        <f t="shared" si="36"/>
        <v>272</v>
      </c>
      <c r="C8">
        <f t="shared" si="5"/>
        <v>62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5</v>
      </c>
      <c r="H8" s="3">
        <f t="shared" si="10"/>
        <v>3</v>
      </c>
      <c r="I8" s="3">
        <f t="shared" si="11"/>
        <v>2</v>
      </c>
      <c r="J8" s="3">
        <f t="shared" si="12"/>
        <v>0</v>
      </c>
      <c r="K8">
        <f t="shared" si="13"/>
        <v>1</v>
      </c>
      <c r="L8" s="3">
        <f t="shared" si="14"/>
        <v>1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142</v>
      </c>
      <c r="AM8">
        <v>45</v>
      </c>
      <c r="AN8" t="s">
        <v>142</v>
      </c>
      <c r="AQ8">
        <v>60</v>
      </c>
      <c r="AR8" t="s">
        <v>141</v>
      </c>
      <c r="AU8">
        <v>60</v>
      </c>
      <c r="AV8" t="s">
        <v>141</v>
      </c>
      <c r="CY8">
        <v>62</v>
      </c>
      <c r="CZ8" t="s">
        <v>141</v>
      </c>
      <c r="DD8" t="s">
        <v>149</v>
      </c>
      <c r="DH8" t="s">
        <v>149</v>
      </c>
      <c r="DL8" t="s">
        <v>149</v>
      </c>
      <c r="DP8" t="s">
        <v>149</v>
      </c>
      <c r="DT8" t="s">
        <v>149</v>
      </c>
      <c r="HD8" t="s">
        <v>149</v>
      </c>
      <c r="HH8" t="s">
        <v>149</v>
      </c>
      <c r="PS8" s="3">
        <f t="shared" si="32"/>
        <v>7</v>
      </c>
      <c r="PT8" s="3">
        <f t="shared" si="33"/>
        <v>5</v>
      </c>
      <c r="PU8" s="3">
        <f t="shared" si="34"/>
        <v>2</v>
      </c>
      <c r="PV8">
        <f t="shared" si="4"/>
        <v>0</v>
      </c>
      <c r="PW8">
        <f t="shared" si="35"/>
        <v>4</v>
      </c>
    </row>
    <row r="9" spans="1:439" x14ac:dyDescent="0.2">
      <c r="A9" t="s">
        <v>114</v>
      </c>
      <c r="B9">
        <f t="shared" si="36"/>
        <v>863</v>
      </c>
      <c r="C9">
        <f t="shared" si="5"/>
        <v>528</v>
      </c>
      <c r="D9">
        <f t="shared" si="6"/>
        <v>90</v>
      </c>
      <c r="E9">
        <f t="shared" si="7"/>
        <v>0</v>
      </c>
      <c r="F9">
        <f t="shared" si="8"/>
        <v>245</v>
      </c>
      <c r="G9">
        <f t="shared" si="9"/>
        <v>11</v>
      </c>
      <c r="H9" s="3">
        <f t="shared" si="10"/>
        <v>9</v>
      </c>
      <c r="I9" s="3">
        <f t="shared" si="11"/>
        <v>2</v>
      </c>
      <c r="J9" s="3">
        <f t="shared" si="12"/>
        <v>0</v>
      </c>
      <c r="K9">
        <f t="shared" si="13"/>
        <v>6</v>
      </c>
      <c r="L9" s="3">
        <f t="shared" si="14"/>
        <v>6</v>
      </c>
      <c r="M9" s="3">
        <f t="shared" si="15"/>
        <v>0</v>
      </c>
      <c r="N9" s="3">
        <f t="shared" si="16"/>
        <v>0</v>
      </c>
      <c r="O9">
        <f t="shared" si="17"/>
        <v>1</v>
      </c>
      <c r="P9" s="3">
        <f t="shared" si="18"/>
        <v>1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142</v>
      </c>
      <c r="AU9">
        <v>75</v>
      </c>
      <c r="AV9" t="s">
        <v>141</v>
      </c>
      <c r="AY9">
        <v>90</v>
      </c>
      <c r="AZ9" t="s">
        <v>141</v>
      </c>
      <c r="BC9">
        <v>50</v>
      </c>
      <c r="BD9" t="s">
        <v>142</v>
      </c>
      <c r="CY9">
        <v>78</v>
      </c>
      <c r="CZ9" t="s">
        <v>141</v>
      </c>
      <c r="DC9">
        <v>90</v>
      </c>
      <c r="DD9" t="s">
        <v>141</v>
      </c>
      <c r="DG9">
        <v>90</v>
      </c>
      <c r="DH9" t="s">
        <v>141</v>
      </c>
      <c r="DK9">
        <v>90</v>
      </c>
      <c r="DL9" t="s">
        <v>141</v>
      </c>
      <c r="DO9">
        <v>90</v>
      </c>
      <c r="DP9" t="s">
        <v>141</v>
      </c>
      <c r="DS9">
        <v>90</v>
      </c>
      <c r="DT9" t="s">
        <v>141</v>
      </c>
      <c r="HD9" t="s">
        <v>149</v>
      </c>
      <c r="HG9">
        <v>90</v>
      </c>
      <c r="HH9" t="s">
        <v>141</v>
      </c>
      <c r="PS9" s="3">
        <f t="shared" si="32"/>
        <v>1</v>
      </c>
      <c r="PT9" s="3">
        <f t="shared" si="33"/>
        <v>0</v>
      </c>
      <c r="PU9" s="3">
        <f t="shared" si="34"/>
        <v>1</v>
      </c>
      <c r="PV9">
        <f t="shared" si="4"/>
        <v>0</v>
      </c>
      <c r="PW9">
        <f t="shared" si="35"/>
        <v>4</v>
      </c>
    </row>
    <row r="10" spans="1:439" x14ac:dyDescent="0.2">
      <c r="A10" t="s">
        <v>128</v>
      </c>
      <c r="B10">
        <f t="shared" si="36"/>
        <v>806</v>
      </c>
      <c r="C10">
        <f t="shared" si="5"/>
        <v>384</v>
      </c>
      <c r="D10">
        <f t="shared" si="6"/>
        <v>112</v>
      </c>
      <c r="E10">
        <f t="shared" si="7"/>
        <v>0</v>
      </c>
      <c r="F10">
        <f t="shared" si="8"/>
        <v>310</v>
      </c>
      <c r="G10">
        <f t="shared" si="9"/>
        <v>13</v>
      </c>
      <c r="H10" s="3">
        <f t="shared" si="10"/>
        <v>9</v>
      </c>
      <c r="I10" s="3">
        <f t="shared" si="11"/>
        <v>4</v>
      </c>
      <c r="J10" s="3">
        <f t="shared" si="12"/>
        <v>1</v>
      </c>
      <c r="K10">
        <f t="shared" si="13"/>
        <v>5</v>
      </c>
      <c r="L10" s="3">
        <f t="shared" si="14"/>
        <v>4</v>
      </c>
      <c r="M10" s="3">
        <f t="shared" si="15"/>
        <v>1</v>
      </c>
      <c r="N10" s="3">
        <f t="shared" si="16"/>
        <v>1</v>
      </c>
      <c r="O10">
        <f t="shared" si="17"/>
        <v>2</v>
      </c>
      <c r="P10" s="3">
        <f t="shared" si="18"/>
        <v>1</v>
      </c>
      <c r="Q10" s="3">
        <f t="shared" si="19"/>
        <v>1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142</v>
      </c>
      <c r="AM10">
        <v>45</v>
      </c>
      <c r="AN10" t="s">
        <v>141</v>
      </c>
      <c r="AQ10">
        <v>60</v>
      </c>
      <c r="AR10" t="s">
        <v>141</v>
      </c>
      <c r="AU10">
        <v>60</v>
      </c>
      <c r="AV10" t="s">
        <v>141</v>
      </c>
      <c r="AY10">
        <v>80</v>
      </c>
      <c r="AZ10" t="s">
        <v>141</v>
      </c>
      <c r="BC10">
        <v>20</v>
      </c>
      <c r="BD10" t="s">
        <v>142</v>
      </c>
      <c r="CY10">
        <v>90</v>
      </c>
      <c r="CZ10" t="s">
        <v>141</v>
      </c>
      <c r="DC10">
        <v>90</v>
      </c>
      <c r="DD10" t="s">
        <v>141</v>
      </c>
      <c r="DG10">
        <v>90</v>
      </c>
      <c r="DH10" t="s">
        <v>141</v>
      </c>
      <c r="DK10">
        <v>90</v>
      </c>
      <c r="DL10" t="s">
        <v>141</v>
      </c>
      <c r="DP10" t="s">
        <v>151</v>
      </c>
      <c r="DS10">
        <v>24</v>
      </c>
      <c r="DT10" t="s">
        <v>142</v>
      </c>
      <c r="HC10">
        <v>90</v>
      </c>
      <c r="HD10" t="s">
        <v>141</v>
      </c>
      <c r="HG10">
        <v>22</v>
      </c>
      <c r="HH10" t="s">
        <v>142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109</v>
      </c>
      <c r="B11">
        <f t="shared" si="36"/>
        <v>914</v>
      </c>
      <c r="C11">
        <f t="shared" si="5"/>
        <v>424</v>
      </c>
      <c r="D11">
        <f t="shared" si="6"/>
        <v>180</v>
      </c>
      <c r="E11">
        <f t="shared" si="7"/>
        <v>0</v>
      </c>
      <c r="F11">
        <f t="shared" si="8"/>
        <v>310</v>
      </c>
      <c r="G11">
        <f t="shared" si="9"/>
        <v>13</v>
      </c>
      <c r="H11" s="3">
        <f t="shared" si="10"/>
        <v>11</v>
      </c>
      <c r="I11" s="3">
        <f t="shared" si="11"/>
        <v>2</v>
      </c>
      <c r="J11" s="3">
        <f t="shared" si="12"/>
        <v>0</v>
      </c>
      <c r="K11">
        <f t="shared" si="13"/>
        <v>5</v>
      </c>
      <c r="L11" s="3">
        <f t="shared" si="14"/>
        <v>5</v>
      </c>
      <c r="M11" s="3">
        <f t="shared" si="15"/>
        <v>0</v>
      </c>
      <c r="N11" s="3">
        <f t="shared" si="16"/>
        <v>0</v>
      </c>
      <c r="O11">
        <f t="shared" si="17"/>
        <v>2</v>
      </c>
      <c r="P11" s="3">
        <f t="shared" si="18"/>
        <v>2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3</v>
      </c>
      <c r="X11" s="4">
        <f t="shared" si="2"/>
        <v>3</v>
      </c>
      <c r="Y11" s="4">
        <f t="shared" si="50"/>
        <v>0</v>
      </c>
      <c r="Z11" s="4">
        <f t="shared" si="24"/>
        <v>0</v>
      </c>
      <c r="AA11">
        <f t="shared" si="25"/>
        <v>1</v>
      </c>
      <c r="AB11">
        <f t="shared" si="26"/>
        <v>0</v>
      </c>
      <c r="AC11">
        <f t="shared" si="27"/>
        <v>2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141</v>
      </c>
      <c r="AM11">
        <v>45</v>
      </c>
      <c r="AN11" t="s">
        <v>142</v>
      </c>
      <c r="AQ11">
        <v>60</v>
      </c>
      <c r="AR11" t="s">
        <v>141</v>
      </c>
      <c r="AU11">
        <v>60</v>
      </c>
      <c r="AV11" t="s">
        <v>141</v>
      </c>
      <c r="AY11">
        <v>80</v>
      </c>
      <c r="AZ11" t="s">
        <v>141</v>
      </c>
      <c r="BC11">
        <v>20</v>
      </c>
      <c r="BD11" t="s">
        <v>142</v>
      </c>
      <c r="CZ11" t="s">
        <v>149</v>
      </c>
      <c r="DC11">
        <v>80</v>
      </c>
      <c r="DD11" t="s">
        <v>141</v>
      </c>
      <c r="DG11">
        <v>90</v>
      </c>
      <c r="DH11" t="s">
        <v>141</v>
      </c>
      <c r="DK11">
        <v>74</v>
      </c>
      <c r="DL11" t="s">
        <v>141</v>
      </c>
      <c r="DM11">
        <v>1</v>
      </c>
      <c r="DO11">
        <v>90</v>
      </c>
      <c r="DP11" t="s">
        <v>141</v>
      </c>
      <c r="DS11">
        <v>90</v>
      </c>
      <c r="DT11" t="s">
        <v>141</v>
      </c>
      <c r="HC11">
        <v>90</v>
      </c>
      <c r="HD11" t="s">
        <v>141</v>
      </c>
      <c r="HE11">
        <v>1</v>
      </c>
      <c r="HG11">
        <v>90</v>
      </c>
      <c r="HH11" t="s">
        <v>141</v>
      </c>
      <c r="HI11">
        <v>1</v>
      </c>
      <c r="PS11" s="3">
        <f t="shared" si="32"/>
        <v>1</v>
      </c>
      <c r="PT11" s="3">
        <f t="shared" si="33"/>
        <v>1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110</v>
      </c>
      <c r="B12">
        <f t="shared" si="36"/>
        <v>448</v>
      </c>
      <c r="C12">
        <f t="shared" si="5"/>
        <v>204</v>
      </c>
      <c r="D12">
        <f t="shared" si="6"/>
        <v>169</v>
      </c>
      <c r="E12">
        <f t="shared" si="7"/>
        <v>0</v>
      </c>
      <c r="F12">
        <f t="shared" si="8"/>
        <v>75</v>
      </c>
      <c r="G12">
        <f t="shared" si="9"/>
        <v>7</v>
      </c>
      <c r="H12" s="3">
        <f t="shared" si="10"/>
        <v>5</v>
      </c>
      <c r="I12" s="3">
        <f t="shared" si="11"/>
        <v>2</v>
      </c>
      <c r="J12" s="3">
        <f t="shared" si="12"/>
        <v>0</v>
      </c>
      <c r="K12">
        <f t="shared" si="13"/>
        <v>3</v>
      </c>
      <c r="L12" s="3">
        <f t="shared" si="14"/>
        <v>2</v>
      </c>
      <c r="M12" s="3">
        <f t="shared" si="15"/>
        <v>1</v>
      </c>
      <c r="N12" s="3">
        <f t="shared" si="16"/>
        <v>0</v>
      </c>
      <c r="O12">
        <f t="shared" si="17"/>
        <v>2</v>
      </c>
      <c r="P12" s="3">
        <f t="shared" si="18"/>
        <v>2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141</v>
      </c>
      <c r="AU12">
        <v>30</v>
      </c>
      <c r="AV12" t="s">
        <v>142</v>
      </c>
      <c r="CY12">
        <v>28</v>
      </c>
      <c r="CZ12" t="s">
        <v>142</v>
      </c>
      <c r="DD12" t="s">
        <v>149</v>
      </c>
      <c r="DH12" t="s">
        <v>149</v>
      </c>
      <c r="DL12" t="s">
        <v>149</v>
      </c>
      <c r="DO12">
        <v>90</v>
      </c>
      <c r="DP12" t="s">
        <v>141</v>
      </c>
      <c r="DS12">
        <v>86</v>
      </c>
      <c r="DT12" t="s">
        <v>141</v>
      </c>
      <c r="HC12">
        <v>79</v>
      </c>
      <c r="HD12" t="s">
        <v>141</v>
      </c>
      <c r="HG12">
        <v>90</v>
      </c>
      <c r="HH12" t="s">
        <v>141</v>
      </c>
      <c r="PS12" s="3">
        <f t="shared" si="32"/>
        <v>3</v>
      </c>
      <c r="PT12" s="3">
        <f t="shared" si="33"/>
        <v>3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123</v>
      </c>
      <c r="B13">
        <f t="shared" si="36"/>
        <v>451</v>
      </c>
      <c r="C13">
        <f t="shared" si="5"/>
        <v>151</v>
      </c>
      <c r="D13">
        <f t="shared" si="6"/>
        <v>90</v>
      </c>
      <c r="E13">
        <f t="shared" si="7"/>
        <v>0</v>
      </c>
      <c r="F13">
        <f t="shared" si="8"/>
        <v>210</v>
      </c>
      <c r="G13">
        <f t="shared" si="9"/>
        <v>10</v>
      </c>
      <c r="H13" s="3">
        <f t="shared" si="10"/>
        <v>4</v>
      </c>
      <c r="I13" s="3">
        <f t="shared" si="11"/>
        <v>6</v>
      </c>
      <c r="J13" s="3">
        <f t="shared" si="12"/>
        <v>0</v>
      </c>
      <c r="K13">
        <f t="shared" si="13"/>
        <v>4</v>
      </c>
      <c r="L13" s="3">
        <f t="shared" si="14"/>
        <v>2</v>
      </c>
      <c r="M13" s="3">
        <f t="shared" si="15"/>
        <v>2</v>
      </c>
      <c r="N13" s="3">
        <f t="shared" si="16"/>
        <v>0</v>
      </c>
      <c r="O13">
        <f t="shared" si="17"/>
        <v>1</v>
      </c>
      <c r="P13" s="3">
        <f t="shared" si="18"/>
        <v>1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1</v>
      </c>
      <c r="X13" s="4">
        <f t="shared" si="2"/>
        <v>1</v>
      </c>
      <c r="Y13" s="4">
        <f t="shared" si="50"/>
        <v>0</v>
      </c>
      <c r="Z13" s="4">
        <f t="shared" si="24"/>
        <v>0</v>
      </c>
      <c r="AA13">
        <f t="shared" si="25"/>
        <v>1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142</v>
      </c>
      <c r="AM13">
        <v>45</v>
      </c>
      <c r="AN13" t="s">
        <v>142</v>
      </c>
      <c r="AU13">
        <v>30</v>
      </c>
      <c r="AV13" t="s">
        <v>142</v>
      </c>
      <c r="AY13">
        <v>25</v>
      </c>
      <c r="AZ13" t="s">
        <v>142</v>
      </c>
      <c r="BC13">
        <v>65</v>
      </c>
      <c r="BD13" t="s">
        <v>141</v>
      </c>
      <c r="CZ13" t="s">
        <v>149</v>
      </c>
      <c r="DD13" t="s">
        <v>149</v>
      </c>
      <c r="DG13">
        <v>23</v>
      </c>
      <c r="DH13" t="s">
        <v>142</v>
      </c>
      <c r="DK13">
        <v>8</v>
      </c>
      <c r="DL13" t="s">
        <v>142</v>
      </c>
      <c r="DO13">
        <v>75</v>
      </c>
      <c r="DP13" t="s">
        <v>141</v>
      </c>
      <c r="DQ13">
        <v>1</v>
      </c>
      <c r="DS13">
        <v>45</v>
      </c>
      <c r="DT13" t="s">
        <v>141</v>
      </c>
      <c r="HC13">
        <v>90</v>
      </c>
      <c r="HD13" t="s">
        <v>141</v>
      </c>
      <c r="HH13" t="s">
        <v>149</v>
      </c>
      <c r="PS13" s="3">
        <f t="shared" si="32"/>
        <v>3</v>
      </c>
      <c r="PT13" s="3">
        <f t="shared" si="33"/>
        <v>2</v>
      </c>
      <c r="PU13" s="3">
        <f t="shared" si="34"/>
        <v>1</v>
      </c>
      <c r="PV13">
        <f t="shared" si="4"/>
        <v>0</v>
      </c>
      <c r="PW13">
        <f t="shared" si="35"/>
        <v>5</v>
      </c>
    </row>
    <row r="14" spans="1:439" x14ac:dyDescent="0.2">
      <c r="A14" t="s">
        <v>111</v>
      </c>
      <c r="B14">
        <f t="shared" si="36"/>
        <v>699</v>
      </c>
      <c r="C14">
        <f t="shared" si="5"/>
        <v>289</v>
      </c>
      <c r="D14">
        <f t="shared" si="6"/>
        <v>165</v>
      </c>
      <c r="E14">
        <f t="shared" si="7"/>
        <v>0</v>
      </c>
      <c r="F14">
        <f t="shared" si="8"/>
        <v>245</v>
      </c>
      <c r="G14">
        <f t="shared" si="9"/>
        <v>13</v>
      </c>
      <c r="H14" s="3">
        <f t="shared" si="10"/>
        <v>8</v>
      </c>
      <c r="I14" s="3">
        <f t="shared" si="11"/>
        <v>5</v>
      </c>
      <c r="J14" s="3">
        <f t="shared" si="12"/>
        <v>0</v>
      </c>
      <c r="K14">
        <f t="shared" si="13"/>
        <v>6</v>
      </c>
      <c r="L14" s="3">
        <f t="shared" si="14"/>
        <v>3</v>
      </c>
      <c r="M14" s="3">
        <f t="shared" si="15"/>
        <v>3</v>
      </c>
      <c r="N14" s="3">
        <f t="shared" si="16"/>
        <v>0</v>
      </c>
      <c r="O14">
        <f t="shared" si="17"/>
        <v>2</v>
      </c>
      <c r="P14" s="3">
        <f t="shared" si="18"/>
        <v>2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142</v>
      </c>
      <c r="AM14">
        <v>45</v>
      </c>
      <c r="AN14" t="s">
        <v>141</v>
      </c>
      <c r="AQ14">
        <v>60</v>
      </c>
      <c r="AR14" t="s">
        <v>141</v>
      </c>
      <c r="AU14">
        <v>30</v>
      </c>
      <c r="AV14" t="s">
        <v>142</v>
      </c>
      <c r="AY14">
        <v>65</v>
      </c>
      <c r="AZ14" t="s">
        <v>141</v>
      </c>
      <c r="CY14">
        <v>12</v>
      </c>
      <c r="CZ14" t="s">
        <v>142</v>
      </c>
      <c r="DC14">
        <v>90</v>
      </c>
      <c r="DD14" t="s">
        <v>141</v>
      </c>
      <c r="DG14">
        <v>67</v>
      </c>
      <c r="DH14" t="s">
        <v>141</v>
      </c>
      <c r="DK14">
        <v>69</v>
      </c>
      <c r="DL14" t="s">
        <v>141</v>
      </c>
      <c r="DO14">
        <v>6</v>
      </c>
      <c r="DP14" t="s">
        <v>142</v>
      </c>
      <c r="DS14">
        <v>45</v>
      </c>
      <c r="DT14" t="s">
        <v>142</v>
      </c>
      <c r="HC14">
        <v>75</v>
      </c>
      <c r="HD14" t="s">
        <v>141</v>
      </c>
      <c r="HG14">
        <v>90</v>
      </c>
      <c r="HH14" t="s">
        <v>141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5</v>
      </c>
    </row>
    <row r="15" spans="1:439" x14ac:dyDescent="0.2">
      <c r="A15" t="s">
        <v>129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141</v>
      </c>
      <c r="AM15">
        <v>45</v>
      </c>
      <c r="AN15" t="s">
        <v>142</v>
      </c>
      <c r="AQ15">
        <v>30</v>
      </c>
      <c r="AR15" t="s">
        <v>142</v>
      </c>
      <c r="AU15">
        <v>30</v>
      </c>
      <c r="AV15" t="s">
        <v>142</v>
      </c>
      <c r="AY15">
        <v>5</v>
      </c>
      <c r="AZ15" t="s">
        <v>142</v>
      </c>
      <c r="BC15">
        <v>10</v>
      </c>
      <c r="BD15" t="s">
        <v>142</v>
      </c>
      <c r="CZ15" t="s">
        <v>149</v>
      </c>
      <c r="DD15" t="s">
        <v>149</v>
      </c>
      <c r="DH15" t="s">
        <v>149</v>
      </c>
      <c r="DL15" t="s">
        <v>149</v>
      </c>
      <c r="DP15" t="s">
        <v>149</v>
      </c>
      <c r="DT15" t="s">
        <v>149</v>
      </c>
      <c r="HD15" t="s">
        <v>149</v>
      </c>
      <c r="HH15" t="s">
        <v>149</v>
      </c>
      <c r="PS15" s="3">
        <f t="shared" si="32"/>
        <v>8</v>
      </c>
      <c r="PT15" s="3">
        <f t="shared" si="33"/>
        <v>6</v>
      </c>
      <c r="PU15" s="3">
        <f t="shared" si="34"/>
        <v>2</v>
      </c>
      <c r="PV15">
        <f t="shared" si="4"/>
        <v>0</v>
      </c>
      <c r="PW15">
        <f t="shared" si="35"/>
        <v>6</v>
      </c>
    </row>
    <row r="16" spans="1:439" x14ac:dyDescent="0.2">
      <c r="A16" t="s">
        <v>130</v>
      </c>
      <c r="B16">
        <f t="shared" si="36"/>
        <v>78</v>
      </c>
      <c r="C16">
        <f t="shared" si="5"/>
        <v>0</v>
      </c>
      <c r="D16">
        <f t="shared" si="6"/>
        <v>11</v>
      </c>
      <c r="E16">
        <f t="shared" si="7"/>
        <v>0</v>
      </c>
      <c r="F16">
        <f t="shared" si="8"/>
        <v>67</v>
      </c>
      <c r="G16">
        <f t="shared" si="9"/>
        <v>3</v>
      </c>
      <c r="H16" s="3">
        <f t="shared" si="10"/>
        <v>0</v>
      </c>
      <c r="I16" s="3">
        <f t="shared" si="11"/>
        <v>3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1</v>
      </c>
      <c r="P16" s="3">
        <f t="shared" si="18"/>
        <v>0</v>
      </c>
      <c r="Q16" s="3">
        <f t="shared" si="19"/>
        <v>1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142</v>
      </c>
      <c r="AK16">
        <v>1</v>
      </c>
      <c r="AM16">
        <v>22</v>
      </c>
      <c r="AN16" t="s">
        <v>142</v>
      </c>
      <c r="CZ16" t="s">
        <v>149</v>
      </c>
      <c r="DD16" t="s">
        <v>149</v>
      </c>
      <c r="DH16" t="s">
        <v>149</v>
      </c>
      <c r="DL16" t="s">
        <v>149</v>
      </c>
      <c r="DP16" t="s">
        <v>149</v>
      </c>
      <c r="DT16" t="s">
        <v>149</v>
      </c>
      <c r="HD16" t="s">
        <v>149</v>
      </c>
      <c r="HG16">
        <v>11</v>
      </c>
      <c r="HH16" t="s">
        <v>142</v>
      </c>
      <c r="PS16" s="3">
        <f t="shared" si="32"/>
        <v>7</v>
      </c>
      <c r="PT16" s="3">
        <f t="shared" si="33"/>
        <v>6</v>
      </c>
      <c r="PU16" s="3">
        <f t="shared" si="34"/>
        <v>1</v>
      </c>
      <c r="PV16">
        <f t="shared" si="4"/>
        <v>0</v>
      </c>
      <c r="PW16">
        <f t="shared" si="35"/>
        <v>2</v>
      </c>
    </row>
    <row r="17" spans="1:439" x14ac:dyDescent="0.2">
      <c r="A17" t="s">
        <v>131</v>
      </c>
      <c r="B17">
        <f t="shared" si="36"/>
        <v>446</v>
      </c>
      <c r="C17">
        <f t="shared" si="5"/>
        <v>196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10</v>
      </c>
      <c r="H17" s="3">
        <f t="shared" si="10"/>
        <v>5</v>
      </c>
      <c r="I17" s="3">
        <f t="shared" si="11"/>
        <v>5</v>
      </c>
      <c r="J17" s="3">
        <f t="shared" si="12"/>
        <v>0</v>
      </c>
      <c r="K17">
        <f t="shared" si="13"/>
        <v>4</v>
      </c>
      <c r="L17" s="3">
        <f t="shared" si="14"/>
        <v>2</v>
      </c>
      <c r="M17" s="3">
        <f t="shared" si="15"/>
        <v>2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1</v>
      </c>
      <c r="X17" s="4">
        <f t="shared" si="2"/>
        <v>1</v>
      </c>
      <c r="Y17" s="4">
        <f t="shared" si="50"/>
        <v>0</v>
      </c>
      <c r="Z17" s="4">
        <f t="shared" si="24"/>
        <v>0</v>
      </c>
      <c r="AA17">
        <f t="shared" si="25"/>
        <v>1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141</v>
      </c>
      <c r="AM17">
        <v>45</v>
      </c>
      <c r="AN17" t="s">
        <v>141</v>
      </c>
      <c r="AQ17">
        <v>30</v>
      </c>
      <c r="AR17" t="s">
        <v>142</v>
      </c>
      <c r="AU17">
        <v>40</v>
      </c>
      <c r="AV17" t="s">
        <v>142</v>
      </c>
      <c r="AY17">
        <v>20</v>
      </c>
      <c r="AZ17" t="s">
        <v>142</v>
      </c>
      <c r="BC17">
        <v>70</v>
      </c>
      <c r="BD17" t="s">
        <v>141</v>
      </c>
      <c r="CY17">
        <v>90</v>
      </c>
      <c r="CZ17" t="s">
        <v>141</v>
      </c>
      <c r="DA17">
        <v>1</v>
      </c>
      <c r="DC17">
        <v>17</v>
      </c>
      <c r="DD17" t="s">
        <v>142</v>
      </c>
      <c r="DG17">
        <v>23</v>
      </c>
      <c r="DH17" t="s">
        <v>142</v>
      </c>
      <c r="DK17">
        <v>66</v>
      </c>
      <c r="DL17" t="s">
        <v>141</v>
      </c>
      <c r="DP17" t="s">
        <v>149</v>
      </c>
      <c r="DT17" t="s">
        <v>149</v>
      </c>
      <c r="HD17" t="s">
        <v>149</v>
      </c>
      <c r="HH17" t="s">
        <v>149</v>
      </c>
      <c r="PS17" s="3">
        <f t="shared" si="32"/>
        <v>4</v>
      </c>
      <c r="PT17" s="3">
        <f t="shared" si="33"/>
        <v>2</v>
      </c>
      <c r="PU17" s="3">
        <f t="shared" si="34"/>
        <v>2</v>
      </c>
      <c r="PV17">
        <f t="shared" si="4"/>
        <v>0</v>
      </c>
      <c r="PW17">
        <f t="shared" si="35"/>
        <v>6</v>
      </c>
    </row>
    <row r="18" spans="1:439" x14ac:dyDescent="0.2">
      <c r="A18" t="s">
        <v>115</v>
      </c>
      <c r="B18">
        <f t="shared" si="36"/>
        <v>602</v>
      </c>
      <c r="C18">
        <f t="shared" si="5"/>
        <v>279</v>
      </c>
      <c r="D18">
        <f t="shared" si="6"/>
        <v>173</v>
      </c>
      <c r="E18">
        <f t="shared" si="7"/>
        <v>0</v>
      </c>
      <c r="F18">
        <f t="shared" si="8"/>
        <v>150</v>
      </c>
      <c r="G18">
        <f t="shared" si="9"/>
        <v>11</v>
      </c>
      <c r="H18" s="3">
        <f t="shared" si="10"/>
        <v>7</v>
      </c>
      <c r="I18" s="3">
        <f t="shared" si="11"/>
        <v>4</v>
      </c>
      <c r="J18" s="3">
        <f t="shared" si="12"/>
        <v>0</v>
      </c>
      <c r="K18">
        <f t="shared" si="13"/>
        <v>6</v>
      </c>
      <c r="L18" s="3">
        <f t="shared" si="14"/>
        <v>3</v>
      </c>
      <c r="M18" s="3">
        <f t="shared" si="15"/>
        <v>3</v>
      </c>
      <c r="N18" s="3">
        <f t="shared" si="16"/>
        <v>0</v>
      </c>
      <c r="O18">
        <f t="shared" si="17"/>
        <v>2</v>
      </c>
      <c r="P18" s="3">
        <f t="shared" si="18"/>
        <v>2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5</v>
      </c>
      <c r="X18" s="4">
        <f t="shared" si="2"/>
        <v>4</v>
      </c>
      <c r="Y18" s="4">
        <f t="shared" si="50"/>
        <v>1</v>
      </c>
      <c r="Z18" s="4">
        <f t="shared" si="24"/>
        <v>1</v>
      </c>
      <c r="AA18">
        <f t="shared" si="25"/>
        <v>2</v>
      </c>
      <c r="AB18">
        <f t="shared" si="26"/>
        <v>1</v>
      </c>
      <c r="AC18">
        <f t="shared" si="27"/>
        <v>2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142</v>
      </c>
      <c r="AK18">
        <v>1</v>
      </c>
      <c r="AM18">
        <v>45</v>
      </c>
      <c r="AN18" t="s">
        <v>141</v>
      </c>
      <c r="AQ18">
        <v>60</v>
      </c>
      <c r="AR18" t="s">
        <v>141</v>
      </c>
      <c r="CY18">
        <v>28</v>
      </c>
      <c r="CZ18" t="s">
        <v>142</v>
      </c>
      <c r="DC18">
        <v>58</v>
      </c>
      <c r="DD18" t="s">
        <v>141</v>
      </c>
      <c r="DE18">
        <v>1</v>
      </c>
      <c r="DG18">
        <v>15</v>
      </c>
      <c r="DH18" t="s">
        <v>142</v>
      </c>
      <c r="DK18">
        <v>82</v>
      </c>
      <c r="DL18" t="s">
        <v>141</v>
      </c>
      <c r="DN18">
        <v>1</v>
      </c>
      <c r="DO18">
        <v>15</v>
      </c>
      <c r="DP18" t="s">
        <v>142</v>
      </c>
      <c r="DQ18">
        <v>1</v>
      </c>
      <c r="DS18">
        <v>81</v>
      </c>
      <c r="DT18" t="s">
        <v>141</v>
      </c>
      <c r="HC18">
        <v>83</v>
      </c>
      <c r="HD18" t="s">
        <v>141</v>
      </c>
      <c r="HE18">
        <v>2</v>
      </c>
      <c r="HG18">
        <v>90</v>
      </c>
      <c r="HH18" t="s">
        <v>141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113</v>
      </c>
      <c r="B19">
        <f t="shared" si="36"/>
        <v>647</v>
      </c>
      <c r="C19">
        <f t="shared" si="5"/>
        <v>337</v>
      </c>
      <c r="D19">
        <f t="shared" si="6"/>
        <v>15</v>
      </c>
      <c r="E19">
        <f t="shared" si="7"/>
        <v>0</v>
      </c>
      <c r="F19">
        <f t="shared" si="8"/>
        <v>295</v>
      </c>
      <c r="G19">
        <f t="shared" si="9"/>
        <v>12</v>
      </c>
      <c r="H19" s="3">
        <f t="shared" si="10"/>
        <v>7</v>
      </c>
      <c r="I19" s="3">
        <f t="shared" si="11"/>
        <v>5</v>
      </c>
      <c r="J19" s="3">
        <f t="shared" si="12"/>
        <v>0</v>
      </c>
      <c r="K19">
        <f t="shared" si="13"/>
        <v>5</v>
      </c>
      <c r="L19" s="3">
        <f t="shared" si="14"/>
        <v>4</v>
      </c>
      <c r="M19" s="3">
        <f t="shared" si="15"/>
        <v>1</v>
      </c>
      <c r="N19" s="3">
        <f t="shared" si="16"/>
        <v>0</v>
      </c>
      <c r="O19">
        <f t="shared" si="17"/>
        <v>1</v>
      </c>
      <c r="P19" s="3">
        <f t="shared" si="18"/>
        <v>0</v>
      </c>
      <c r="Q19" s="3">
        <f t="shared" si="19"/>
        <v>1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1</v>
      </c>
      <c r="X19" s="4">
        <f t="shared" si="2"/>
        <v>1</v>
      </c>
      <c r="Y19" s="4">
        <f t="shared" si="50"/>
        <v>0</v>
      </c>
      <c r="Z19" s="4">
        <f t="shared" si="24"/>
        <v>0</v>
      </c>
      <c r="AA19">
        <f t="shared" si="25"/>
        <v>1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142</v>
      </c>
      <c r="AM19">
        <v>45</v>
      </c>
      <c r="AN19" t="s">
        <v>141</v>
      </c>
      <c r="AQ19">
        <v>60</v>
      </c>
      <c r="AR19" t="s">
        <v>141</v>
      </c>
      <c r="AU19">
        <v>30</v>
      </c>
      <c r="AV19" t="s">
        <v>142</v>
      </c>
      <c r="AY19">
        <v>45</v>
      </c>
      <c r="AZ19" t="s">
        <v>142</v>
      </c>
      <c r="BC19">
        <v>70</v>
      </c>
      <c r="BD19" t="s">
        <v>141</v>
      </c>
      <c r="CY19">
        <v>78</v>
      </c>
      <c r="CZ19" t="s">
        <v>141</v>
      </c>
      <c r="DC19">
        <v>73</v>
      </c>
      <c r="DD19" t="s">
        <v>141</v>
      </c>
      <c r="DG19">
        <v>75</v>
      </c>
      <c r="DH19" t="s">
        <v>141</v>
      </c>
      <c r="DK19">
        <v>21</v>
      </c>
      <c r="DL19" t="s">
        <v>142</v>
      </c>
      <c r="DO19">
        <v>90</v>
      </c>
      <c r="DP19" t="s">
        <v>141</v>
      </c>
      <c r="DQ19">
        <v>1</v>
      </c>
      <c r="DT19" t="s">
        <v>149</v>
      </c>
      <c r="HC19">
        <v>15</v>
      </c>
      <c r="HD19" t="s">
        <v>142</v>
      </c>
      <c r="HH19" t="s">
        <v>149</v>
      </c>
      <c r="PS19" s="3">
        <f t="shared" si="32"/>
        <v>2</v>
      </c>
      <c r="PT19" s="3">
        <f t="shared" si="33"/>
        <v>1</v>
      </c>
      <c r="PU19" s="3">
        <f t="shared" si="34"/>
        <v>1</v>
      </c>
      <c r="PV19">
        <f t="shared" si="4"/>
        <v>0</v>
      </c>
      <c r="PW19">
        <f t="shared" si="35"/>
        <v>6</v>
      </c>
    </row>
    <row r="20" spans="1:439" x14ac:dyDescent="0.2">
      <c r="A20" t="s">
        <v>137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142</v>
      </c>
      <c r="AQ20">
        <v>30</v>
      </c>
      <c r="AR20" t="s">
        <v>142</v>
      </c>
      <c r="AU20">
        <v>30</v>
      </c>
      <c r="AV20" t="s">
        <v>142</v>
      </c>
      <c r="AY20">
        <v>10</v>
      </c>
      <c r="AZ20" t="s">
        <v>142</v>
      </c>
      <c r="BC20">
        <v>80</v>
      </c>
      <c r="BD20" t="s">
        <v>141</v>
      </c>
      <c r="CZ20" t="s">
        <v>149</v>
      </c>
      <c r="DD20" t="s">
        <v>149</v>
      </c>
      <c r="DH20" t="s">
        <v>149</v>
      </c>
      <c r="DL20" t="s">
        <v>149</v>
      </c>
      <c r="DP20" t="s">
        <v>149</v>
      </c>
      <c r="DT20" t="s">
        <v>149</v>
      </c>
      <c r="HD20" t="s">
        <v>149</v>
      </c>
      <c r="HH20" t="s">
        <v>149</v>
      </c>
      <c r="PS20" s="3">
        <f t="shared" si="32"/>
        <v>8</v>
      </c>
      <c r="PT20" s="3">
        <f t="shared" si="33"/>
        <v>6</v>
      </c>
      <c r="PU20" s="3">
        <f t="shared" si="34"/>
        <v>2</v>
      </c>
      <c r="PV20">
        <f t="shared" si="4"/>
        <v>0</v>
      </c>
      <c r="PW20">
        <f t="shared" si="35"/>
        <v>5</v>
      </c>
    </row>
    <row r="21" spans="1:439" x14ac:dyDescent="0.2">
      <c r="A21" t="s">
        <v>132</v>
      </c>
      <c r="B21">
        <f t="shared" si="36"/>
        <v>161</v>
      </c>
      <c r="C21">
        <f t="shared" si="5"/>
        <v>0</v>
      </c>
      <c r="D21">
        <f t="shared" si="6"/>
        <v>7</v>
      </c>
      <c r="E21">
        <f t="shared" si="7"/>
        <v>0</v>
      </c>
      <c r="F21">
        <f t="shared" si="8"/>
        <v>154</v>
      </c>
      <c r="G21">
        <f t="shared" si="9"/>
        <v>6</v>
      </c>
      <c r="H21" s="3">
        <f t="shared" si="10"/>
        <v>1</v>
      </c>
      <c r="I21" s="3">
        <f t="shared" si="11"/>
        <v>5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1</v>
      </c>
      <c r="P21" s="3">
        <f t="shared" si="18"/>
        <v>0</v>
      </c>
      <c r="Q21" s="3">
        <f t="shared" si="19"/>
        <v>1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142</v>
      </c>
      <c r="AM21">
        <v>22</v>
      </c>
      <c r="AN21" t="s">
        <v>142</v>
      </c>
      <c r="AQ21">
        <v>30</v>
      </c>
      <c r="AR21" t="s">
        <v>142</v>
      </c>
      <c r="AY21">
        <v>10</v>
      </c>
      <c r="AZ21" t="s">
        <v>142</v>
      </c>
      <c r="BC21">
        <v>70</v>
      </c>
      <c r="BD21" t="s">
        <v>141</v>
      </c>
      <c r="CZ21" t="s">
        <v>149</v>
      </c>
      <c r="DD21" t="s">
        <v>149</v>
      </c>
      <c r="DH21" t="s">
        <v>149</v>
      </c>
      <c r="DL21" t="s">
        <v>149</v>
      </c>
      <c r="DP21" t="s">
        <v>149</v>
      </c>
      <c r="DT21" t="s">
        <v>149</v>
      </c>
      <c r="HC21">
        <v>7</v>
      </c>
      <c r="HD21" t="s">
        <v>142</v>
      </c>
      <c r="HH21" t="s">
        <v>149</v>
      </c>
      <c r="PS21" s="3">
        <f t="shared" si="32"/>
        <v>7</v>
      </c>
      <c r="PT21" s="3">
        <f t="shared" si="33"/>
        <v>6</v>
      </c>
      <c r="PU21" s="3">
        <f t="shared" si="34"/>
        <v>1</v>
      </c>
      <c r="PV21">
        <f t="shared" si="4"/>
        <v>0</v>
      </c>
      <c r="PW21">
        <f t="shared" si="35"/>
        <v>5</v>
      </c>
    </row>
    <row r="22" spans="1:439" x14ac:dyDescent="0.2">
      <c r="A22" t="s">
        <v>133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142</v>
      </c>
      <c r="AL22">
        <v>1</v>
      </c>
      <c r="AM22">
        <v>30</v>
      </c>
      <c r="AN22" t="s">
        <v>142</v>
      </c>
      <c r="AQ22">
        <v>30</v>
      </c>
      <c r="AR22" t="s">
        <v>142</v>
      </c>
      <c r="AU22">
        <v>15</v>
      </c>
      <c r="AV22" t="s">
        <v>142</v>
      </c>
      <c r="AY22">
        <v>10</v>
      </c>
      <c r="AZ22" t="s">
        <v>142</v>
      </c>
      <c r="BC22">
        <v>20</v>
      </c>
      <c r="BD22" t="s">
        <v>142</v>
      </c>
      <c r="CZ22" t="s">
        <v>149</v>
      </c>
      <c r="DD22" t="s">
        <v>149</v>
      </c>
      <c r="DH22" t="s">
        <v>149</v>
      </c>
      <c r="DL22" t="s">
        <v>149</v>
      </c>
      <c r="DP22" t="s">
        <v>149</v>
      </c>
      <c r="DT22" t="s">
        <v>149</v>
      </c>
      <c r="HD22" t="s">
        <v>149</v>
      </c>
      <c r="HH22" t="s">
        <v>149</v>
      </c>
      <c r="PS22" s="3">
        <f t="shared" si="32"/>
        <v>8</v>
      </c>
      <c r="PT22" s="3">
        <f t="shared" si="33"/>
        <v>6</v>
      </c>
      <c r="PU22" s="3">
        <f t="shared" si="34"/>
        <v>2</v>
      </c>
      <c r="PV22">
        <f t="shared" si="4"/>
        <v>0</v>
      </c>
      <c r="PW22">
        <f t="shared" si="35"/>
        <v>6</v>
      </c>
    </row>
    <row r="23" spans="1:439" x14ac:dyDescent="0.2">
      <c r="A23" t="s">
        <v>134</v>
      </c>
      <c r="B23">
        <f t="shared" si="36"/>
        <v>105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105</v>
      </c>
      <c r="G23">
        <f t="shared" si="9"/>
        <v>5</v>
      </c>
      <c r="H23" s="3">
        <f t="shared" si="10"/>
        <v>1</v>
      </c>
      <c r="I23" s="3">
        <f t="shared" si="11"/>
        <v>4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141</v>
      </c>
      <c r="AM23">
        <v>15</v>
      </c>
      <c r="AN23" t="s">
        <v>142</v>
      </c>
      <c r="AO23">
        <v>1</v>
      </c>
      <c r="AU23">
        <v>15</v>
      </c>
      <c r="AV23" t="s">
        <v>142</v>
      </c>
      <c r="AY23">
        <v>10</v>
      </c>
      <c r="AZ23" t="s">
        <v>142</v>
      </c>
      <c r="BC23">
        <v>20</v>
      </c>
      <c r="BD23" t="s">
        <v>142</v>
      </c>
      <c r="CZ23" t="s">
        <v>149</v>
      </c>
      <c r="DD23" t="s">
        <v>149</v>
      </c>
      <c r="DH23" t="s">
        <v>149</v>
      </c>
      <c r="DL23" t="s">
        <v>149</v>
      </c>
      <c r="DP23" t="s">
        <v>149</v>
      </c>
      <c r="DT23" t="s">
        <v>149</v>
      </c>
      <c r="HD23" t="s">
        <v>149</v>
      </c>
      <c r="HH23" t="s">
        <v>149</v>
      </c>
      <c r="PS23" s="3">
        <f t="shared" si="32"/>
        <v>8</v>
      </c>
      <c r="PT23" s="3">
        <f t="shared" si="33"/>
        <v>6</v>
      </c>
      <c r="PU23" s="3">
        <f t="shared" si="34"/>
        <v>2</v>
      </c>
      <c r="PV23">
        <f t="shared" si="4"/>
        <v>0</v>
      </c>
      <c r="PW23">
        <f t="shared" si="35"/>
        <v>5</v>
      </c>
    </row>
    <row r="24" spans="1:439" x14ac:dyDescent="0.2">
      <c r="A24" t="s">
        <v>136</v>
      </c>
      <c r="B24">
        <f t="shared" si="36"/>
        <v>302</v>
      </c>
      <c r="C24">
        <f t="shared" si="5"/>
        <v>72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7</v>
      </c>
      <c r="H24" s="3">
        <f t="shared" si="10"/>
        <v>4</v>
      </c>
      <c r="I24" s="3">
        <f t="shared" si="11"/>
        <v>3</v>
      </c>
      <c r="J24" s="3">
        <f t="shared" si="12"/>
        <v>0</v>
      </c>
      <c r="K24">
        <f t="shared" si="13"/>
        <v>2</v>
      </c>
      <c r="L24" s="3">
        <f t="shared" si="14"/>
        <v>1</v>
      </c>
      <c r="M24" s="3">
        <f t="shared" si="15"/>
        <v>1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141</v>
      </c>
      <c r="AM24">
        <v>45</v>
      </c>
      <c r="AN24" t="s">
        <v>142</v>
      </c>
      <c r="AU24">
        <v>30</v>
      </c>
      <c r="AV24" t="s">
        <v>142</v>
      </c>
      <c r="AY24">
        <v>60</v>
      </c>
      <c r="AZ24" t="s">
        <v>141</v>
      </c>
      <c r="BC24">
        <v>50</v>
      </c>
      <c r="BD24" t="s">
        <v>141</v>
      </c>
      <c r="CY24">
        <v>62</v>
      </c>
      <c r="CZ24" t="s">
        <v>141</v>
      </c>
      <c r="DB24">
        <v>1</v>
      </c>
      <c r="DC24">
        <v>10</v>
      </c>
      <c r="DD24" t="s">
        <v>142</v>
      </c>
      <c r="DH24" t="s">
        <v>149</v>
      </c>
      <c r="DL24" t="s">
        <v>149</v>
      </c>
      <c r="DP24" t="s">
        <v>149</v>
      </c>
      <c r="DT24" t="s">
        <v>149</v>
      </c>
      <c r="HD24" t="s">
        <v>149</v>
      </c>
      <c r="HH24" t="s">
        <v>149</v>
      </c>
      <c r="PS24" s="3">
        <f t="shared" si="32"/>
        <v>6</v>
      </c>
      <c r="PT24" s="3">
        <f t="shared" si="33"/>
        <v>4</v>
      </c>
      <c r="PU24" s="3">
        <f t="shared" si="34"/>
        <v>2</v>
      </c>
      <c r="PV24">
        <f t="shared" si="4"/>
        <v>0</v>
      </c>
      <c r="PW24">
        <f t="shared" si="35"/>
        <v>5</v>
      </c>
    </row>
    <row r="25" spans="1:439" x14ac:dyDescent="0.2">
      <c r="A25" t="s">
        <v>135</v>
      </c>
      <c r="B25">
        <f t="shared" si="36"/>
        <v>782</v>
      </c>
      <c r="C25">
        <f t="shared" si="5"/>
        <v>434</v>
      </c>
      <c r="D25">
        <f t="shared" si="6"/>
        <v>98</v>
      </c>
      <c r="E25">
        <f t="shared" si="7"/>
        <v>0</v>
      </c>
      <c r="F25">
        <f t="shared" si="8"/>
        <v>250</v>
      </c>
      <c r="G25">
        <f t="shared" si="9"/>
        <v>12</v>
      </c>
      <c r="H25" s="3">
        <f t="shared" si="10"/>
        <v>9</v>
      </c>
      <c r="I25" s="3">
        <f t="shared" si="11"/>
        <v>3</v>
      </c>
      <c r="J25" s="3">
        <f t="shared" si="12"/>
        <v>0</v>
      </c>
      <c r="K25">
        <f t="shared" si="13"/>
        <v>5</v>
      </c>
      <c r="L25" s="3">
        <f t="shared" si="14"/>
        <v>5</v>
      </c>
      <c r="M25" s="3">
        <f t="shared" si="15"/>
        <v>0</v>
      </c>
      <c r="N25" s="3">
        <f t="shared" si="16"/>
        <v>0</v>
      </c>
      <c r="O25">
        <f t="shared" si="17"/>
        <v>2</v>
      </c>
      <c r="P25" s="3">
        <f t="shared" si="18"/>
        <v>1</v>
      </c>
      <c r="Q25" s="3">
        <f t="shared" si="19"/>
        <v>1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2</v>
      </c>
      <c r="X25" s="4">
        <f t="shared" si="2"/>
        <v>1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1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141</v>
      </c>
      <c r="AM25">
        <v>45</v>
      </c>
      <c r="AN25" t="s">
        <v>142</v>
      </c>
      <c r="AQ25">
        <v>30</v>
      </c>
      <c r="AR25" t="s">
        <v>142</v>
      </c>
      <c r="AS25">
        <v>1</v>
      </c>
      <c r="AU25">
        <v>60</v>
      </c>
      <c r="AV25" t="s">
        <v>141</v>
      </c>
      <c r="AY25">
        <v>70</v>
      </c>
      <c r="AZ25" t="s">
        <v>141</v>
      </c>
      <c r="CZ25" t="s">
        <v>149</v>
      </c>
      <c r="DC25">
        <v>80</v>
      </c>
      <c r="DD25" t="s">
        <v>141</v>
      </c>
      <c r="DG25">
        <v>90</v>
      </c>
      <c r="DH25" t="s">
        <v>141</v>
      </c>
      <c r="DK25">
        <v>90</v>
      </c>
      <c r="DL25" t="s">
        <v>141</v>
      </c>
      <c r="DO25">
        <v>84</v>
      </c>
      <c r="DP25" t="s">
        <v>141</v>
      </c>
      <c r="DS25">
        <v>90</v>
      </c>
      <c r="DT25" t="s">
        <v>141</v>
      </c>
      <c r="HC25">
        <v>90</v>
      </c>
      <c r="HD25" t="s">
        <v>141</v>
      </c>
      <c r="HE25">
        <v>1</v>
      </c>
      <c r="HG25">
        <v>8</v>
      </c>
      <c r="HH25" t="s">
        <v>142</v>
      </c>
      <c r="PS25" s="3">
        <f t="shared" si="32"/>
        <v>1</v>
      </c>
      <c r="PT25" s="3">
        <f t="shared" si="33"/>
        <v>1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112</v>
      </c>
      <c r="B26">
        <f t="shared" si="36"/>
        <v>233</v>
      </c>
      <c r="C26">
        <f t="shared" si="5"/>
        <v>50</v>
      </c>
      <c r="D26">
        <f t="shared" si="6"/>
        <v>143</v>
      </c>
      <c r="E26">
        <f t="shared" si="7"/>
        <v>0</v>
      </c>
      <c r="F26">
        <f t="shared" si="8"/>
        <v>40</v>
      </c>
      <c r="G26">
        <f t="shared" si="9"/>
        <v>7</v>
      </c>
      <c r="H26" s="3">
        <f t="shared" si="10"/>
        <v>2</v>
      </c>
      <c r="I26" s="3">
        <f t="shared" si="11"/>
        <v>5</v>
      </c>
      <c r="J26" s="3">
        <f t="shared" si="12"/>
        <v>0</v>
      </c>
      <c r="K26">
        <f t="shared" si="13"/>
        <v>4</v>
      </c>
      <c r="L26" s="3">
        <f t="shared" si="14"/>
        <v>0</v>
      </c>
      <c r="M26" s="3">
        <f t="shared" si="15"/>
        <v>4</v>
      </c>
      <c r="N26" s="3">
        <f t="shared" si="16"/>
        <v>0</v>
      </c>
      <c r="O26">
        <f t="shared" si="17"/>
        <v>2</v>
      </c>
      <c r="P26" s="3">
        <f t="shared" si="18"/>
        <v>2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2</v>
      </c>
      <c r="X26" s="4">
        <f t="shared" si="2"/>
        <v>1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1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142</v>
      </c>
      <c r="BE26">
        <v>1</v>
      </c>
      <c r="CY26">
        <v>15</v>
      </c>
      <c r="CZ26" t="s">
        <v>142</v>
      </c>
      <c r="DD26" t="s">
        <v>149</v>
      </c>
      <c r="DH26" t="s">
        <v>149</v>
      </c>
      <c r="DK26">
        <v>8</v>
      </c>
      <c r="DL26" t="s">
        <v>142</v>
      </c>
      <c r="DO26">
        <v>18</v>
      </c>
      <c r="DP26" t="s">
        <v>142</v>
      </c>
      <c r="DS26">
        <v>9</v>
      </c>
      <c r="DT26" t="s">
        <v>142</v>
      </c>
      <c r="HC26">
        <v>75</v>
      </c>
      <c r="HD26" t="s">
        <v>141</v>
      </c>
      <c r="HE26">
        <v>1</v>
      </c>
      <c r="HG26">
        <v>68</v>
      </c>
      <c r="HH26" t="s">
        <v>141</v>
      </c>
      <c r="PS26" s="3">
        <f t="shared" si="32"/>
        <v>2</v>
      </c>
      <c r="PT26" s="3">
        <f t="shared" si="33"/>
        <v>2</v>
      </c>
      <c r="PU26" s="3">
        <f t="shared" si="34"/>
        <v>0</v>
      </c>
      <c r="PV26">
        <f t="shared" si="4"/>
        <v>0</v>
      </c>
      <c r="PW26">
        <f t="shared" si="35"/>
        <v>1</v>
      </c>
    </row>
    <row r="27" spans="1:439" x14ac:dyDescent="0.2">
      <c r="A27" t="s">
        <v>138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141</v>
      </c>
      <c r="AM27">
        <v>45</v>
      </c>
      <c r="AN27" t="s">
        <v>142</v>
      </c>
      <c r="BC27">
        <v>20</v>
      </c>
      <c r="BD27" t="s">
        <v>142</v>
      </c>
      <c r="CZ27" t="s">
        <v>149</v>
      </c>
      <c r="DD27" t="s">
        <v>149</v>
      </c>
      <c r="DH27" t="s">
        <v>149</v>
      </c>
      <c r="DL27" t="s">
        <v>149</v>
      </c>
      <c r="DP27" t="s">
        <v>149</v>
      </c>
      <c r="DT27" t="s">
        <v>149</v>
      </c>
      <c r="HD27" t="s">
        <v>149</v>
      </c>
      <c r="HH27" t="s">
        <v>149</v>
      </c>
      <c r="PS27" s="3">
        <f t="shared" si="32"/>
        <v>8</v>
      </c>
      <c r="PT27" s="3">
        <f t="shared" si="33"/>
        <v>6</v>
      </c>
      <c r="PU27" s="3">
        <f t="shared" si="34"/>
        <v>2</v>
      </c>
      <c r="PV27">
        <f t="shared" si="4"/>
        <v>0</v>
      </c>
      <c r="PW27">
        <f t="shared" si="35"/>
        <v>3</v>
      </c>
    </row>
    <row r="28" spans="1:439" x14ac:dyDescent="0.2">
      <c r="A28" t="s">
        <v>139</v>
      </c>
      <c r="B28">
        <f t="shared" si="36"/>
        <v>867</v>
      </c>
      <c r="C28">
        <f t="shared" si="5"/>
        <v>510</v>
      </c>
      <c r="D28">
        <f t="shared" si="6"/>
        <v>97</v>
      </c>
      <c r="E28">
        <f t="shared" si="7"/>
        <v>0</v>
      </c>
      <c r="F28">
        <f t="shared" si="8"/>
        <v>260</v>
      </c>
      <c r="G28">
        <f t="shared" si="9"/>
        <v>13</v>
      </c>
      <c r="H28" s="3">
        <f t="shared" si="10"/>
        <v>10</v>
      </c>
      <c r="I28" s="3">
        <f t="shared" si="11"/>
        <v>3</v>
      </c>
      <c r="J28" s="3">
        <f t="shared" si="12"/>
        <v>0</v>
      </c>
      <c r="K28">
        <f t="shared" si="13"/>
        <v>6</v>
      </c>
      <c r="L28" s="3">
        <f t="shared" si="14"/>
        <v>6</v>
      </c>
      <c r="M28" s="3">
        <f t="shared" si="15"/>
        <v>0</v>
      </c>
      <c r="N28" s="3">
        <f t="shared" si="16"/>
        <v>0</v>
      </c>
      <c r="O28">
        <f t="shared" si="17"/>
        <v>2</v>
      </c>
      <c r="P28" s="3">
        <f t="shared" si="18"/>
        <v>1</v>
      </c>
      <c r="Q28" s="3">
        <f t="shared" si="19"/>
        <v>1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141</v>
      </c>
      <c r="AM28">
        <v>45</v>
      </c>
      <c r="AN28" t="s">
        <v>142</v>
      </c>
      <c r="AQ28">
        <v>30</v>
      </c>
      <c r="AR28" t="s">
        <v>142</v>
      </c>
      <c r="AU28">
        <v>60</v>
      </c>
      <c r="AV28" t="s">
        <v>141</v>
      </c>
      <c r="BC28">
        <v>80</v>
      </c>
      <c r="BD28" t="s">
        <v>141</v>
      </c>
      <c r="CY28">
        <v>90</v>
      </c>
      <c r="CZ28" t="s">
        <v>141</v>
      </c>
      <c r="DC28">
        <v>90</v>
      </c>
      <c r="DD28" t="s">
        <v>141</v>
      </c>
      <c r="DG28">
        <v>90</v>
      </c>
      <c r="DH28" t="s">
        <v>141</v>
      </c>
      <c r="DK28">
        <v>90</v>
      </c>
      <c r="DL28" t="s">
        <v>141</v>
      </c>
      <c r="DO28">
        <v>84</v>
      </c>
      <c r="DP28" t="s">
        <v>141</v>
      </c>
      <c r="DS28">
        <v>66</v>
      </c>
      <c r="DT28" t="s">
        <v>141</v>
      </c>
      <c r="HC28">
        <v>15</v>
      </c>
      <c r="HD28" t="s">
        <v>142</v>
      </c>
      <c r="HG28">
        <v>82</v>
      </c>
      <c r="HH28" t="s">
        <v>141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140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810</v>
      </c>
      <c r="C29">
        <f t="shared" ref="C29" si="62">SUM(CY29,DC29,DG29,DK29,DO29,DS29,DW29,EA29,EE29,EI29,EM29,EQ29,EU29,EY29,FC29,FG29,FK29,FO29,FS29,FW29,GA29,GE29,GI29,GM29,GQ29,GU29)</f>
        <v>525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12</v>
      </c>
      <c r="H29" s="3">
        <f t="shared" ref="H29" si="66">COUNTIF(AI29:PR29,"T")</f>
        <v>9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6</v>
      </c>
      <c r="L29" s="3">
        <f t="shared" ref="L29" si="70">COUNTIF(CY29:GX29,"T")</f>
        <v>6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141</v>
      </c>
      <c r="AM29">
        <v>45</v>
      </c>
      <c r="AN29" t="s">
        <v>142</v>
      </c>
      <c r="AQ29">
        <v>30</v>
      </c>
      <c r="AR29" t="s">
        <v>142</v>
      </c>
      <c r="AU29">
        <v>60</v>
      </c>
      <c r="AV29" t="s">
        <v>141</v>
      </c>
      <c r="AY29">
        <v>85</v>
      </c>
      <c r="AZ29" t="s">
        <v>141</v>
      </c>
      <c r="BC29">
        <v>20</v>
      </c>
      <c r="BD29" t="s">
        <v>142</v>
      </c>
      <c r="CY29">
        <v>90</v>
      </c>
      <c r="CZ29" t="s">
        <v>141</v>
      </c>
      <c r="DC29">
        <v>90</v>
      </c>
      <c r="DD29" t="s">
        <v>141</v>
      </c>
      <c r="DG29">
        <v>75</v>
      </c>
      <c r="DH29" t="s">
        <v>141</v>
      </c>
      <c r="DK29">
        <v>90</v>
      </c>
      <c r="DL29" t="s">
        <v>141</v>
      </c>
      <c r="DO29">
        <v>90</v>
      </c>
      <c r="DP29" t="s">
        <v>141</v>
      </c>
      <c r="DS29">
        <v>90</v>
      </c>
      <c r="DT29" t="s">
        <v>141</v>
      </c>
      <c r="HD29" t="s">
        <v>149</v>
      </c>
      <c r="HH29" t="s">
        <v>149</v>
      </c>
      <c r="PS29" s="3">
        <f t="shared" ref="PS29" si="86">COUNTIF(AI29:PR29,"HG")</f>
        <v>2</v>
      </c>
      <c r="PT29" s="3">
        <f t="shared" ref="PT29" si="87">COUNTIF(CY29:GX29,"HG")</f>
        <v>0</v>
      </c>
      <c r="PU29" s="3">
        <f t="shared" ref="PU29" si="88">COUNTIF(GY29:IT29,"HG")</f>
        <v>2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A30" t="s">
        <v>147</v>
      </c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317</v>
      </c>
      <c r="C30">
        <f t="shared" ref="C30" si="91">SUM(CY30,DC30,DG30,DK30,DO30,DS30,DW30,EA30,EE30,EI30,EM30,EQ30,EU30,EY30,FC30,FG30,FK30,FO30,FS30,FW30,GA30,GE30,GI30,GM30,GQ30,GU30)</f>
        <v>306</v>
      </c>
      <c r="D30">
        <f t="shared" ref="D30" si="92">SUM(GY30,HC30,HG30,HK30,HO30,HS30,HW30,IA30,IE30,II30,IM30,IQ30)</f>
        <v>11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7</v>
      </c>
      <c r="H30" s="3">
        <f t="shared" ref="H30" si="96">COUNTIF(AI30:PR30,"T")</f>
        <v>4</v>
      </c>
      <c r="I30" s="3">
        <f t="shared" ref="I30" si="97">COUNTIF(AI30:PR30,"R")</f>
        <v>3</v>
      </c>
      <c r="J30" s="3">
        <f t="shared" ref="J30" si="98">COUNTIF(AI30:PR30,"NR")</f>
        <v>0</v>
      </c>
      <c r="K30">
        <f t="shared" ref="K30" si="99">SUM(L30:M30)</f>
        <v>6</v>
      </c>
      <c r="L30" s="3">
        <f t="shared" ref="L30" si="100">COUNTIF(CY30:GX30,"T")</f>
        <v>4</v>
      </c>
      <c r="M30" s="3">
        <f t="shared" ref="M30" si="101">COUNTIF(CY30:GX30,"R")</f>
        <v>2</v>
      </c>
      <c r="N30" s="3">
        <f t="shared" ref="N30" si="102">COUNTIF(CY30:GX30,"NR")</f>
        <v>0</v>
      </c>
      <c r="O30">
        <f t="shared" ref="O30" si="103">SUM(P30:Q30)</f>
        <v>1</v>
      </c>
      <c r="P30" s="3">
        <f t="shared" ref="P30" si="104">COUNTIF(GY30:IT30,"T")</f>
        <v>0</v>
      </c>
      <c r="Q30" s="3">
        <f t="shared" ref="Q30" si="105">COUNTIF(GY30:IT30,"R")</f>
        <v>1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CY30">
        <v>75</v>
      </c>
      <c r="CZ30" t="s">
        <v>141</v>
      </c>
      <c r="DC30">
        <v>10</v>
      </c>
      <c r="DD30" t="s">
        <v>142</v>
      </c>
      <c r="DG30">
        <v>67</v>
      </c>
      <c r="DH30" t="s">
        <v>141</v>
      </c>
      <c r="DK30">
        <v>16</v>
      </c>
      <c r="DL30" t="s">
        <v>142</v>
      </c>
      <c r="DO30">
        <v>72</v>
      </c>
      <c r="DP30" t="s">
        <v>141</v>
      </c>
      <c r="DS30">
        <v>66</v>
      </c>
      <c r="DT30" t="s">
        <v>141</v>
      </c>
      <c r="HC30">
        <v>11</v>
      </c>
      <c r="HD30" t="s">
        <v>142</v>
      </c>
      <c r="HH30" t="s">
        <v>149</v>
      </c>
      <c r="PS30" s="3">
        <f t="shared" ref="PS30" si="116">COUNTIF(AI30:PR30,"HG")</f>
        <v>1</v>
      </c>
      <c r="PT30" s="3">
        <f t="shared" ref="PT30" si="117">COUNTIF(CY30:GX30,"HG")</f>
        <v>0</v>
      </c>
      <c r="PU30" s="3">
        <f t="shared" ref="PU30" si="118">COUNTIF(GY30:IT30,"HG")</f>
        <v>1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A31" t="s">
        <v>148</v>
      </c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32</v>
      </c>
      <c r="C31">
        <f t="shared" ref="C31" si="121">SUM(CY31,DC31,DG31,DK31,DO31,DS31,DW31,EA31,EE31,EI31,EM31,EQ31,EU31,EY31,FC31,FG31,FK31,FO31,FS31,FW31,GA31,GE31,GI31,GM31,GQ31,GU31)</f>
        <v>32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1</v>
      </c>
      <c r="H31" s="3">
        <f t="shared" ref="H31" si="126">COUNTIF(AI31:PR31,"T")</f>
        <v>0</v>
      </c>
      <c r="I31" s="3">
        <f t="shared" ref="I31" si="127">COUNTIF(AI31:PR31,"R")</f>
        <v>1</v>
      </c>
      <c r="J31" s="3">
        <f t="shared" ref="J31" si="128">COUNTIF(AI31:PR31,"NR")</f>
        <v>0</v>
      </c>
      <c r="K31">
        <f t="shared" ref="K31" si="129">SUM(L31:M31)</f>
        <v>1</v>
      </c>
      <c r="L31" s="3">
        <f t="shared" ref="L31" si="130">COUNTIF(CY31:GX31,"T")</f>
        <v>0</v>
      </c>
      <c r="M31" s="3">
        <f t="shared" ref="M31" si="131">COUNTIF(CY31:GX31,"R")</f>
        <v>1</v>
      </c>
      <c r="N31" s="3">
        <f t="shared" ref="N31" si="132">COUNTIF(CY31:GX31,"NR")</f>
        <v>0</v>
      </c>
      <c r="O31">
        <f t="shared" ref="O31:O33" si="133">SUM(P31:Q31)</f>
        <v>0</v>
      </c>
      <c r="P31" s="3">
        <f t="shared" ref="P31:P33" si="134">COUNTIF(GY31:IT31,"T")</f>
        <v>0</v>
      </c>
      <c r="Q31" s="3">
        <f t="shared" ref="Q31:Q33" si="135">COUNTIF(GY31:IT31,"R")</f>
        <v>0</v>
      </c>
      <c r="R31" s="3">
        <f t="shared" ref="R31:R33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CZ31" t="s">
        <v>149</v>
      </c>
      <c r="DC31">
        <v>32</v>
      </c>
      <c r="DD31" t="s">
        <v>142</v>
      </c>
      <c r="DH31" t="s">
        <v>149</v>
      </c>
      <c r="DL31" t="s">
        <v>149</v>
      </c>
      <c r="DP31" t="s">
        <v>149</v>
      </c>
      <c r="DT31" t="s">
        <v>149</v>
      </c>
      <c r="HD31" t="s">
        <v>149</v>
      </c>
      <c r="HH31" t="s">
        <v>149</v>
      </c>
      <c r="PS31" s="3">
        <f t="shared" ref="PS31" si="146">COUNTIF(AI31:PR31,"HG")</f>
        <v>7</v>
      </c>
      <c r="PT31" s="3">
        <f t="shared" ref="PT31" si="147">COUNTIF(CY31:GX31,"HG")</f>
        <v>5</v>
      </c>
      <c r="PU31" s="3">
        <f t="shared" ref="PU31:PU33" si="148">COUNTIF(GY31:IT31,"HG")</f>
        <v>2</v>
      </c>
      <c r="PV31">
        <f t="shared" si="4"/>
        <v>0</v>
      </c>
      <c r="PW31">
        <f t="shared" ref="PW31" si="149">G31-(K31+O31+S31)</f>
        <v>0</v>
      </c>
    </row>
    <row r="32" spans="1:439" x14ac:dyDescent="0.2">
      <c r="A32" t="s">
        <v>150</v>
      </c>
      <c r="O32">
        <f t="shared" si="133"/>
        <v>1</v>
      </c>
      <c r="P32">
        <f t="shared" si="134"/>
        <v>1</v>
      </c>
      <c r="Q32">
        <f t="shared" si="135"/>
        <v>0</v>
      </c>
      <c r="R32">
        <f t="shared" si="136"/>
        <v>0</v>
      </c>
      <c r="DG32">
        <v>15</v>
      </c>
      <c r="DH32" t="s">
        <v>142</v>
      </c>
      <c r="DL32" t="s">
        <v>149</v>
      </c>
      <c r="DO32">
        <v>6</v>
      </c>
      <c r="DP32" t="s">
        <v>142</v>
      </c>
      <c r="DS32">
        <v>24</v>
      </c>
      <c r="DT32" t="s">
        <v>142</v>
      </c>
      <c r="HD32" t="s">
        <v>149</v>
      </c>
      <c r="HG32">
        <v>79</v>
      </c>
      <c r="HH32" t="s">
        <v>141</v>
      </c>
      <c r="PU32">
        <f t="shared" si="148"/>
        <v>1</v>
      </c>
    </row>
    <row r="33" spans="1:437" x14ac:dyDescent="0.2">
      <c r="A33" t="s">
        <v>152</v>
      </c>
      <c r="O33">
        <f t="shared" si="133"/>
        <v>1</v>
      </c>
      <c r="P33">
        <f t="shared" si="134"/>
        <v>1</v>
      </c>
      <c r="Q33">
        <f t="shared" si="135"/>
        <v>0</v>
      </c>
      <c r="R33">
        <f t="shared" si="136"/>
        <v>0</v>
      </c>
      <c r="HD33" t="s">
        <v>149</v>
      </c>
      <c r="HG33">
        <v>82</v>
      </c>
      <c r="HH33" t="s">
        <v>141</v>
      </c>
      <c r="HI33">
        <v>1</v>
      </c>
      <c r="PU33">
        <f t="shared" si="148"/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2026-10-14T08:43:07Z</dcterms:modified>
</cp:coreProperties>
</file>