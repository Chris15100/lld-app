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ABA475DC-5E9E-8241-BC42-EFFE849C6D81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6" i="1" l="1"/>
  <c r="Z16" i="1"/>
  <c r="Y2" i="1"/>
  <c r="AH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PS31" i="1"/>
  <c r="PT31" i="1"/>
  <c r="PU31" i="1"/>
  <c r="PV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U31" i="1"/>
  <c r="V31" i="1"/>
  <c r="W31" i="1"/>
  <c r="X31" i="1"/>
  <c r="Z31" i="1"/>
  <c r="AA31" i="1"/>
  <c r="AB31" i="1"/>
  <c r="AC31" i="1"/>
  <c r="AD31" i="1"/>
  <c r="AE31" i="1"/>
  <c r="AF31" i="1"/>
  <c r="AG31" i="1"/>
  <c r="AH31" i="1"/>
  <c r="U30" i="1"/>
  <c r="V30" i="1"/>
  <c r="W30" i="1"/>
  <c r="X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F30" i="1"/>
  <c r="H30" i="1"/>
  <c r="I30" i="1"/>
  <c r="J30" i="1"/>
  <c r="L30" i="1"/>
  <c r="M30" i="1"/>
  <c r="N30" i="1"/>
  <c r="P30" i="1"/>
  <c r="Q30" i="1"/>
  <c r="R30" i="1"/>
  <c r="T30" i="1"/>
  <c r="S30" i="1" s="1"/>
  <c r="PS30" i="1"/>
  <c r="PT30" i="1"/>
  <c r="PU30" i="1"/>
  <c r="PV30" i="1"/>
  <c r="PS29" i="1"/>
  <c r="PT29" i="1"/>
  <c r="PU29" i="1"/>
  <c r="PV29" i="1"/>
  <c r="H29" i="1"/>
  <c r="I29" i="1"/>
  <c r="J29" i="1"/>
  <c r="L29" i="1"/>
  <c r="M29" i="1"/>
  <c r="N29" i="1"/>
  <c r="P29" i="1"/>
  <c r="Q29" i="1"/>
  <c r="R29" i="1"/>
  <c r="T29" i="1"/>
  <c r="U29" i="1"/>
  <c r="V29" i="1"/>
  <c r="W29" i="1"/>
  <c r="X29" i="1"/>
  <c r="Z29" i="1"/>
  <c r="AA29" i="1"/>
  <c r="AB29" i="1"/>
  <c r="AC29" i="1"/>
  <c r="AD29" i="1"/>
  <c r="AE29" i="1"/>
  <c r="AF29" i="1"/>
  <c r="AG29" i="1"/>
  <c r="AH29" i="1"/>
  <c r="B29" i="1"/>
  <c r="C29" i="1"/>
  <c r="D29" i="1"/>
  <c r="E29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" i="1"/>
  <c r="F29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Z3" i="1"/>
  <c r="Z5" i="1"/>
  <c r="Z6" i="1"/>
  <c r="Z7" i="1"/>
  <c r="Z8" i="1"/>
  <c r="Z9" i="1"/>
  <c r="Z10" i="1"/>
  <c r="Z11" i="1"/>
  <c r="Z12" i="1"/>
  <c r="Z13" i="1"/>
  <c r="Z14" i="1"/>
  <c r="Z15" i="1"/>
  <c r="Z17" i="1"/>
  <c r="Z18" i="1"/>
  <c r="Z19" i="1"/>
  <c r="Z20" i="1"/>
  <c r="Z21" i="1"/>
  <c r="Z22" i="1"/>
  <c r="Z23" i="1"/>
  <c r="Z24" i="1"/>
  <c r="Z25" i="1"/>
  <c r="Z26" i="1"/>
  <c r="Z27" i="1"/>
  <c r="Z28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AG2" i="1"/>
  <c r="AF2" i="1"/>
  <c r="AE2" i="1"/>
  <c r="AD2" i="1"/>
  <c r="AC2" i="1"/>
  <c r="AB2" i="1"/>
  <c r="AA2" i="1"/>
  <c r="Z2" i="1"/>
  <c r="X2" i="1"/>
  <c r="W2" i="1"/>
  <c r="P2" i="1"/>
  <c r="Q2" i="1"/>
  <c r="M2" i="1"/>
  <c r="L2" i="1"/>
  <c r="I2" i="1"/>
  <c r="H2" i="1"/>
  <c r="O29" i="1" l="1"/>
  <c r="O30" i="1"/>
  <c r="S29" i="1"/>
  <c r="S31" i="1"/>
  <c r="G30" i="1"/>
  <c r="K31" i="1"/>
  <c r="S8" i="1"/>
  <c r="G31" i="1"/>
  <c r="PW31" i="1" s="1"/>
  <c r="K29" i="1"/>
  <c r="K30" i="1"/>
  <c r="G29" i="1"/>
  <c r="PW29" i="1" s="1"/>
  <c r="O18" i="1"/>
  <c r="G28" i="1"/>
  <c r="K25" i="1"/>
  <c r="O10" i="1"/>
  <c r="K27" i="1"/>
  <c r="O13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7" i="1"/>
  <c r="O25" i="1"/>
  <c r="O27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8" i="1"/>
  <c r="S22" i="1"/>
  <c r="S27" i="1"/>
  <c r="S26" i="1"/>
  <c r="O28" i="1"/>
  <c r="O22" i="1"/>
  <c r="O14" i="1"/>
  <c r="O6" i="1"/>
  <c r="O24" i="1"/>
  <c r="O17" i="1"/>
  <c r="O9" i="1"/>
  <c r="O23" i="1"/>
  <c r="O16" i="1"/>
  <c r="O8" i="1"/>
  <c r="O15" i="1"/>
  <c r="O7" i="1"/>
  <c r="K28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30" i="1" l="1"/>
  <c r="PW12" i="1"/>
  <c r="PW27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8" i="1"/>
  <c r="PW24" i="1"/>
  <c r="PW2" i="1"/>
</calcChain>
</file>

<file path=xl/sharedStrings.xml><?xml version="1.0" encoding="utf-8"?>
<sst xmlns="http://schemas.openxmlformats.org/spreadsheetml/2006/main" count="529" uniqueCount="147">
  <si>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</si>
  <si>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</si>
  <si>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</si>
  <si>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</si>
  <si>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</si>
  <si>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</si>
  <si>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</si>
  <si>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</si>
  <si>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</si>
  <si>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</si>
  <si>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</si>
  <si>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</si>
  <si>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</si>
  <si>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</si>
  <si>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</si>
  <si>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</si>
  <si>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</si>
  <si>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</si>
  <si>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</si>
  <si>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</si>
  <si>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</si>
  <si>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</si>
  <si>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</si>
  <si>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</si>
  <si>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</si>
  <si>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</si>
  <si>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</si>
  <si>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</si>
  <si>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</si>
  <si>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</si>
  <si>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</si>
  <si>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</si>
  <si>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</si>
  <si>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</si>
  <si>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</si>
  <si>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</si>
  <si>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</si>
  <si>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</si>
  <si>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</si>
  <si>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</si>
  <si>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</si>
  <si>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</si>
  <si>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</si>
  <si>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</si>
  <si>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</si>
  <si>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</si>
  <si>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</si>
  <si>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</si>
  <si>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</si>
  <si>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</si>
  <si>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</si>
  <si>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</si>
  <si>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</si>
  <si>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</si>
  <si>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</si>
  <si>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</si>
  <si>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</si>
  <si>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</si>
  <si>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</si>
  <si>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</si>
  <si>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</si>
  <si>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</si>
  <si>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</si>
  <si>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</si>
  <si>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</si>
  <si>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</si>
  <si>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</si>
  <si>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</si>
  <si>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</si>
  <si>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</si>
  <si>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</si>
  <si>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</si>
  <si>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</si>
  <si>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</si>
  <si>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</si>
  <si>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</si>
  <si>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</si>
  <si>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</si>
  <si>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</si>
  <si>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</si>
  <si>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</si>
  <si>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</si>
  <si>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</si>
  <si>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</si>
  <si>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</si>
  <si>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</si>
  <si>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</si>
  <si>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</si>
  <si>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</si>
  <si>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</si>
  <si>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</si>
  <si>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</si>
  <si>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</si>
  <si>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</si>
  <si>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</si>
  <si>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</si>
  <si>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</si>
  <si>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</si>
  <si>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</si>
  <si>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</si>
  <si>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</si>
  <si>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</si>
  <si>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</si>
  <si>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</si>
  <si>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</si>
  <si>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</si>
  <si>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</si>
  <si>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</si>
  <si>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</si>
  <si>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</si>
  <si>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</si>
  <si>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</si>
  <si>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</si>
  <si>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</si>
  <si>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</si>
  <si>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</si>
  <si>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</si>
  <si>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</si>
  <si>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</si>
  <si>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Omar Benyounes</t>
  </si>
  <si>
    <t>CDF T3</t>
  </si>
  <si>
    <t>CDF T4</t>
  </si>
  <si>
    <t>CDF T5</t>
  </si>
  <si>
    <t>CDF T6</t>
  </si>
  <si>
    <t>CDF T7</t>
  </si>
  <si>
    <t>CDF T8</t>
  </si>
  <si>
    <t>CDF 32ème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</si>
  <si>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</si>
  <si>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</si>
  <si>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</si>
  <si>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</si>
  <si>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</si>
  <si>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</si>
  <si>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</si>
  <si>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</si>
  <si>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</si>
  <si>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</si>
  <si>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</si>
  <si>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</si>
  <si>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</si>
  <si>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</si>
  <si>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</si>
  <si>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Antoine Leberre</t>
  </si>
  <si>
    <t>Kamal Bafounta</t>
  </si>
  <si>
    <t>Romain Antunes</t>
  </si>
  <si>
    <t>T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</si>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</sst>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1"/>
  <sheetViews>
    <sheetView tabSelected="1" workbookViewId="0">
      <pane xSplit="1" topLeftCell="AP1" activePane="topRight" state="frozen"/>
      <selection pane="topRight" activeCell="AU8" sqref="AU8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120</v>
      </c>
      <c r="GZ1" s="1" t="s">
        <v>92</v>
      </c>
      <c r="HA1" s="1" t="s">
        <v>93</v>
      </c>
      <c r="HB1" s="1" t="s">
        <v>71</v>
      </c>
      <c r="HC1" s="1" t="s">
        <v>121</v>
      </c>
      <c r="HD1" s="1" t="s">
        <v>92</v>
      </c>
      <c r="HE1" s="1" t="s">
        <v>93</v>
      </c>
      <c r="HF1" s="1" t="s">
        <v>71</v>
      </c>
      <c r="HG1" s="1" t="s">
        <v>122</v>
      </c>
      <c r="HH1" s="1" t="s">
        <v>92</v>
      </c>
      <c r="HI1" s="1" t="s">
        <v>93</v>
      </c>
      <c r="HJ1" s="1" t="s">
        <v>71</v>
      </c>
      <c r="HK1" s="1" t="s">
        <v>123</v>
      </c>
      <c r="HL1" s="1" t="s">
        <v>92</v>
      </c>
      <c r="HM1" s="1" t="s">
        <v>93</v>
      </c>
      <c r="HN1" s="1" t="s">
        <v>71</v>
      </c>
      <c r="HO1" s="1" t="s">
        <v>124</v>
      </c>
      <c r="HP1" s="1" t="s">
        <v>92</v>
      </c>
      <c r="HQ1" s="1" t="s">
        <v>93</v>
      </c>
      <c r="HR1" s="1" t="s">
        <v>71</v>
      </c>
      <c r="HS1" s="1" t="s">
        <v>125</v>
      </c>
      <c r="HT1" s="1" t="s">
        <v>92</v>
      </c>
      <c r="HU1" s="1" t="s">
        <v>93</v>
      </c>
      <c r="HV1" s="1" t="s">
        <v>71</v>
      </c>
      <c r="HW1" s="1" t="s">
        <v>126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t="s">
        <v>110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60</v>
      </c>
      <c r="C2">
        <f>SUM(CY2,DC2,DG2,DK2,DO2,DS2,DW2,EA2,EE2,EI2,EM2,EQ2,EU2,EY2,FC2,FG2,FK2,FO2,FS2,FW2,GA2,GE2,GI2,GM2,GQ2,GU2)</f>
        <v>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60</v>
      </c>
      <c r="G2">
        <f>SUM(H2:I2)</f>
        <v>1</v>
      </c>
      <c r="H2" s="3">
        <f>COUNTIF(AI2:PR2,"T")</f>
        <v>1</v>
      </c>
      <c r="I2" s="3">
        <f>COUNTIF(AI2:PR2,"R")</f>
        <v>0</v>
      </c>
      <c r="J2" s="3">
        <f>COUNTIF(AI2:PR2,"NR")</f>
        <v>0</v>
      </c>
      <c r="K2">
        <f>SUM(L2:M2)</f>
        <v>0</v>
      </c>
      <c r="L2" s="3">
        <f>COUNTIF(CY2:GX2,"T")</f>
        <v>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0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>COUNTIF(IU:PR,"NR")</f>
        <v>0</v>
      </c>
      <c r="W2" s="3">
        <f t="shared" ref="W2:W31" si="0"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X2" s="4">
        <f t="shared" ref="X2:X31" si="1">SUM(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Y2" s="4" t="e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#REF!,ML2,MP2,MT2,MX2,NB2,NF2,NJ2,NN2,NR2,NV2,NZ2,OD2,OH2,OL2,OP2,OT2,OX2,PB2,PF2,PJ2,PN2,PR2)</f>
        <v>#REF!</v>
      </c>
      <c r="Z2" s="4" t="e">
        <f>SUM(DB2,DF2,DJ2,DN2,DR2,DV2,DZ2,ED2,EH2,EL2,EP2,ET2,EX2,FB2,FF2,FJ2,FN2,FR2,FV2,FZ2,GD2,GH2,GL2,GP2,GT2,GX2,HB2,HF2,HJ2,HN2,HR2,HV2,HZ2,ID2,IH2,IL2,IP2,IT2,IX2,JB2,JF2,JJ2,JN2,JR2,JV2,JZ2,KD2,KH2,KL2,KP2,KT2,KX2,LB2,LF2,LJ2,LN2,LR2,LV2,LZ2,MD2,#REF!,ML2,MP2,MT2,MX2,NB2,NF2,NJ2,NN2,NR2,NV2,NZ2,OD2,OH2,OL2,OP2,OT2,OX2,PB2,PF2,PJ2,PN2,PR2)</f>
        <v>#REF!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 t="shared" ref="AG2:AG31" si="2">SUM(IW2,JA2,JE2,JI2,JM2,JQ2,JU2,JY2,KC2,KG2,KK2,KO2,KS2,KW2,LA2,LE2,LI2,LM2,LQ2,LU2,LY2,MC2,MH2,MK2,MO2,MS2,MW2,NA2,NE2,NI2,NM2,NQ2,NU2,NY2,OC2,OG2,OK2,OO2,OS2,OW2,PA2,PE2,PI2,PM2,PQ2)</f>
        <v>0</v>
      </c>
      <c r="AH2" t="e">
        <f>SUM(IX2,JB2,JF2,JJ2,JN2,JR2,JV2,JZ2,KD2,KH2,KL2,KP2,KT2,KX2,LB2,LF2,LJ2,LN2,LR2,LV2,LZ2,MD2,#REF!,ML2,MP2,MT2,MX2,NB2,NF2,NJ2,NN2,NR2,NV2,NZ2,OD2,OH2,OL2,OP2,OT2,OX2,PB2,PF2,PJ2,PN2,PR2)</f>
        <v>#REF!</v>
      </c>
      <c r="AQ2">
        <v>60</v>
      </c>
      <c r="AR2" t="s">
        <v>145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>COUNTIF(IU:PR,"HG")</f>
        <v>0</v>
      </c>
      <c r="PW2">
        <f>G2-(K2+O2+S2)</f>
        <v>1</v>
      </c>
    </row>
    <row r="3" spans="1:439" x14ac:dyDescent="0.2">
      <c r="A3" t="s">
        <v>111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0</v>
      </c>
      <c r="C3">
        <f t="shared" ref="C3:C28" si="3">SUM(CY3,DC3,DG3,DK3,DO3,DS3,DW3,EA3,EE3,EI3,EM3,EQ3,EU3,EY3,FC3,FG3,FK3,FO3,FS3,FW3,GA3,GE3,GI3,GM3,GQ3,GU3)</f>
        <v>0</v>
      </c>
      <c r="D3">
        <f t="shared" ref="D3:D28" si="4">SUM(GY3,HC3,HG3,HK3,HO3,HS3,HW3,IA3,IE3,II3,IM3,IQ3)</f>
        <v>0</v>
      </c>
      <c r="E3">
        <f t="shared" ref="E3:E28" si="5">SUM(IU3,IY3,JC3,JG3,JK3,JO3,JS3,JW3,KA3,KE3,KI3,KM3,KQ3,KU3,KY3,LC3,LG3,LK3,LO3,LS3,LW3,MA3,ME3,MI3,MM3,MQ3,MU3,MY3,NC3,NG3,NK3,NO3,NS3,NW3,OA3,OE3,OI3,OM3,OQ3,OU3,OY3,PC3,PG3,PK3,PO3)</f>
        <v>0</v>
      </c>
      <c r="F3">
        <f t="shared" ref="F3:F29" si="6">SUM(AI3,AM3,AQ3,AU3,AY3,BC3,BG3,BK3,BO3,BS3,BW3,CA3,CE3,CI3,CM3,CQ3,CU3)</f>
        <v>0</v>
      </c>
      <c r="G3">
        <f t="shared" ref="G3:G28" si="7">SUM(H3:I3)</f>
        <v>0</v>
      </c>
      <c r="H3" s="3">
        <f t="shared" ref="H3:H28" si="8">COUNTIF(AI3:PR3,"T")</f>
        <v>0</v>
      </c>
      <c r="I3" s="3">
        <f t="shared" ref="I3:I28" si="9">COUNTIF(AI3:PR3,"R")</f>
        <v>0</v>
      </c>
      <c r="J3" s="3">
        <f t="shared" ref="J3:J28" si="10">COUNTIF(AI3:PR3,"NR")</f>
        <v>0</v>
      </c>
      <c r="K3">
        <f t="shared" ref="K3:K28" si="11">SUM(L3:M3)</f>
        <v>0</v>
      </c>
      <c r="L3" s="3">
        <f t="shared" ref="L3:L28" si="12">COUNTIF(CY3:GX3,"T")</f>
        <v>0</v>
      </c>
      <c r="M3" s="3">
        <f t="shared" ref="M3:M28" si="13">COUNTIF(CY3:GX3,"R")</f>
        <v>0</v>
      </c>
      <c r="N3" s="3">
        <f t="shared" ref="N3:N28" si="14">COUNTIF(CY3:GX3,"NR")</f>
        <v>0</v>
      </c>
      <c r="O3">
        <f t="shared" ref="O3:O28" si="15">SUM(P3:Q3)</f>
        <v>0</v>
      </c>
      <c r="P3" s="3">
        <f t="shared" ref="P3:P28" si="16">COUNTIF(GY3:IT3,"T")</f>
        <v>0</v>
      </c>
      <c r="Q3" s="3">
        <f t="shared" ref="Q3:Q28" si="17">COUNTIF(GY3:IT3,"R")</f>
        <v>0</v>
      </c>
      <c r="R3" s="3">
        <f t="shared" ref="R3:R28" si="18">COUNTIF(GY3:IT3,"NR")</f>
        <v>0</v>
      </c>
      <c r="S3">
        <f t="shared" ref="S3:S28" si="19">SUM(T3:U3)</f>
        <v>0</v>
      </c>
      <c r="T3" s="3">
        <f t="shared" ref="T3:T28" si="20">COUNTIF(IU3:PR3,"T")</f>
        <v>0</v>
      </c>
      <c r="U3" s="3">
        <f t="shared" ref="U3:U28" si="21">COUNTIF(IU3:PR3,"R")</f>
        <v>0</v>
      </c>
      <c r="V3" s="3">
        <f>COUNTIF(IU:PR,"NR")</f>
        <v>0</v>
      </c>
      <c r="W3" s="3">
        <f t="shared" si="0"/>
        <v>0</v>
      </c>
      <c r="X3" s="4">
        <f t="shared" si="1"/>
        <v>0</v>
      </c>
      <c r="Y3" s="4" t="e">
        <f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#REF!,ML3,MP3,MT3,MX3,NB3,NF3,NJ3,NN3,NR3,NV3,NZ3,OD3,OH3,OL3,OP3,OT3,OX3,PB3,PF3,PJ3,PN3,PR3)</f>
        <v>#REF!</v>
      </c>
      <c r="Z3" s="4" t="e">
        <f>SUM(DB3,DF3,DJ3,DN3,DR3,DV3,DZ3,ED3,EH3,EL3,EP3,ET3,EX3,FB3,FF3,FJ3,FN3,FR3,FV3,FZ3,GD3,GH3,GL3,GP3,GT3,GX3,HB3,HF3,HJ3,HN3,HR3,HV3,HZ3,ID3,IH3,IL3,IP3,IT3,IX3,JB3,JF3,JJ3,JN3,JR3,JV3,JZ3,KD3,KH3,KL3,KP3,KT3,KX3,LB3,LF3,LJ3,LN3,LR3,LV3,LZ3,MD3,#REF!,ML3,MP3,MT3,MX3,NB3,NF3,NJ3,NN3,NR3,NV3,NZ3,OD3,OH3,OL3,OP3,OT3,OX3,PB3,PF3,PJ3,PN3,PR3)</f>
        <v>#REF!</v>
      </c>
      <c r="AA3">
        <f t="shared" ref="AA3:AA28" si="22">SUM(DA3,DE3,DI3,DM3,DQ3,DU3,DY3,EC3,EG3,EK3,EO3,ES3,EW3,FA3,FE3,FI3,FM3,FQ3,FU3,FY3,GC3,GG3,GK3,GO3,GS3,GW3)</f>
        <v>0</v>
      </c>
      <c r="AB3">
        <f t="shared" ref="AB3:AB28" si="23">SUM(DB3,DF3,DJ3,DN3,DR3,DV3,DZ3,ED3,EH3,EL3,EP3,ET3,EX3,FB3,FF3,FJ3,FN3,FR3,FV3,FZ3,GD3,GH3,GL3,GP3,GT3,GX3)</f>
        <v>0</v>
      </c>
      <c r="AC3">
        <f t="shared" ref="AC3:AC28" si="24">SUM(HA3,HE3,HI3,HM3,HQ3,HU3,HY3,IC3,IG3,IK3,IO3,IS3)</f>
        <v>0</v>
      </c>
      <c r="AD3">
        <f t="shared" ref="AD3:AD28" si="25">SUM(HB3,HF3,HJ3,HN3,HR3,HV3,HZ3,ID3,IH3,IL3,IP3,IT3)</f>
        <v>0</v>
      </c>
      <c r="AE3">
        <f t="shared" ref="AE3:AE28" si="26">SUM(AK3,AO3,AS3,AW3,BA3,BE3,BI3,BM3,BQ3,BU3,BY3,CC3,CG3,CK3,CO3,CS3,CW3)</f>
        <v>0</v>
      </c>
      <c r="AF3">
        <f t="shared" ref="AF3:AF28" si="27">SUM(AL3,AP3,AT3,AX3,BB3,BF3,BJ3,BN3,BR3,BV3,BZ3,CD3,CH3,CL3,CP3,CT3,CX3)</f>
        <v>0</v>
      </c>
      <c r="AG3">
        <f t="shared" si="2"/>
        <v>0</v>
      </c>
      <c r="AH3" t="e">
        <f>SUM(IX3,JB3,JF3,JJ3,JN3,JR3,JV3,JZ3,KD3,KH3,KL3,KP3,KT3,KX3,LB3,LF3,LJ3,LN3,LR3,LV3,LZ3,MD3,#REF!,ML3,MP3,MT3,MX3,NB3,NF3,NJ3,NN3,NR3,NV3,NZ3,OD3,OH3,OL3,OP3,OT3,OX3,PB3,PF3,PJ3,PN3,PR3)</f>
        <v>#REF!</v>
      </c>
      <c r="PS3" s="3">
        <f t="shared" ref="PS3:PS28" si="28">COUNTIF(AI3:PR3,"HG")</f>
        <v>0</v>
      </c>
      <c r="PT3" s="3">
        <f t="shared" ref="PT3:PT28" si="29">COUNTIF(CY3:GX3,"HG")</f>
        <v>0</v>
      </c>
      <c r="PU3" s="3">
        <f t="shared" ref="PU3:PU28" si="30">COUNTIF(GY3:IT3,"HG")</f>
        <v>0</v>
      </c>
      <c r="PV3">
        <f>COUNTIF(IU:PR,"HG")</f>
        <v>0</v>
      </c>
      <c r="PW3">
        <f t="shared" ref="PW3:PW28" si="31">G3-(K3+O3+S3)</f>
        <v>0</v>
      </c>
    </row>
    <row r="4" spans="1:439" x14ac:dyDescent="0.2">
      <c r="A4" t="s">
        <v>128</v>
      </c>
      <c r="B4">
        <f t="shared" ref="B4:B28" si="32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120</v>
      </c>
      <c r="C4">
        <f t="shared" si="3"/>
        <v>0</v>
      </c>
      <c r="D4">
        <f t="shared" si="4"/>
        <v>0</v>
      </c>
      <c r="E4">
        <f t="shared" si="5"/>
        <v>0</v>
      </c>
      <c r="F4">
        <f t="shared" si="6"/>
        <v>120</v>
      </c>
      <c r="G4">
        <f t="shared" ref="G4" si="33">SUM(H4:I4)</f>
        <v>3</v>
      </c>
      <c r="H4" s="3">
        <f t="shared" ref="H4" si="34">COUNTIF(AI4:PR4,"T")</f>
        <v>2</v>
      </c>
      <c r="I4" s="3">
        <f t="shared" ref="I4" si="35">COUNTIF(AI4:PR4,"R")</f>
        <v>1</v>
      </c>
      <c r="J4" s="3">
        <f t="shared" ref="J4" si="36">COUNTIF(AI4:PR4,"NR")</f>
        <v>0</v>
      </c>
      <c r="K4">
        <f t="shared" ref="K4" si="37">SUM(L4:M4)</f>
        <v>0</v>
      </c>
      <c r="L4" s="3">
        <f t="shared" ref="L4" si="38">COUNTIF(CY4:GX4,"T")</f>
        <v>0</v>
      </c>
      <c r="M4" s="3">
        <f t="shared" ref="M4" si="39">COUNTIF(CY4:GX4,"R")</f>
        <v>0</v>
      </c>
      <c r="N4" s="3">
        <f t="shared" ref="N4" si="40">COUNTIF(CY4:GX4,"NR")</f>
        <v>0</v>
      </c>
      <c r="O4">
        <f t="shared" ref="O4" si="41">SUM(P4:Q4)</f>
        <v>0</v>
      </c>
      <c r="P4" s="3">
        <f t="shared" ref="P4" si="42">COUNTIF(GY4:IT4,"T")</f>
        <v>0</v>
      </c>
      <c r="Q4" s="3">
        <f t="shared" ref="Q4" si="43">COUNTIF(GY4:IT4,"R")</f>
        <v>0</v>
      </c>
      <c r="R4" s="3">
        <f t="shared" ref="R4" si="44">COUNTIF(GY4:IT4,"NR")</f>
        <v>0</v>
      </c>
      <c r="S4">
        <f t="shared" ref="S4" si="45">SUM(T4:U4)</f>
        <v>0</v>
      </c>
      <c r="T4" s="3">
        <f t="shared" si="20"/>
        <v>0</v>
      </c>
      <c r="U4" s="3">
        <f t="shared" si="21"/>
        <v>0</v>
      </c>
      <c r="V4" s="3">
        <f>COUNTIF(IU:PR,"NR")</f>
        <v>0</v>
      </c>
      <c r="W4" s="3">
        <f t="shared" si="0"/>
        <v>0</v>
      </c>
      <c r="X4" s="4">
        <f t="shared" si="1"/>
        <v>0</v>
      </c>
      <c r="Y4" s="4" t="e">
        <f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#REF!,ML4,MP4,MT4,MX4,NB4,NF4,NJ4,NN4,NR4,NV4,NZ4,OD4,OH4,OL4,OP4,OT4,OX4,PB4,PF4,PJ4,PN4,PR4)</f>
        <v>#REF!</v>
      </c>
      <c r="Z4" s="4" t="e">
        <f>SUM(DB4,DF4,DJ4,DN4,DR4,DV4,DZ4,ED4,EH4,EL4,EP4,ET4,EX4,FB4,FF4,FJ4,FN4,FR4,FV4,FZ4,GD4,GH4,GL4,GP4,GT4,GX4,HB4,HF4,HJ4,HN4,HR4,HV4,HZ4,ID4,IH4,IL4,IP4,IT4,IX4,JB4,JF4,JJ4,JN4,JR4,JV4,JZ4,KD4,KH4,KL4,KP4,KT4,KX4,LB4,LF4,LJ4,LN4,LR4,LV4,LZ4,MD4,#REF!,ML4,MP4,MT4,MX4,NB4,NF4,NJ4,NN4,NR4,NV4,NZ4,OD4,OH4,OL4,OP4,OT4,OX4,PB4,PF4,PJ4,PN4,PR4)</f>
        <v>#REF!</v>
      </c>
      <c r="AA4">
        <f t="shared" ref="AA4" si="46">SUM(DA4,DE4,DI4,DM4,DQ4,DU4,DY4,EC4,EG4,EK4,EO4,ES4,EW4,FA4,FE4,FI4,FM4,FQ4,FU4,FY4,GC4,GG4,GK4,GO4,GS4,GW4)</f>
        <v>0</v>
      </c>
      <c r="AB4">
        <f t="shared" ref="AB4" si="47">SUM(DB4,DF4,DJ4,DN4,DR4,DV4,DZ4,ED4,EH4,EL4,EP4,ET4,EX4,FB4,FF4,FJ4,FN4,FR4,FV4,FZ4,GD4,GH4,GL4,GP4,GT4,GX4)</f>
        <v>0</v>
      </c>
      <c r="AC4">
        <f t="shared" ref="AC4" si="48">SUM(HA4,HE4,HI4,HM4,HQ4,HU4,HY4,IC4,IG4,IK4,IO4,IS4)</f>
        <v>0</v>
      </c>
      <c r="AD4">
        <f t="shared" ref="AD4" si="49">SUM(HB4,HF4,HJ4,HN4,HR4,HV4,HZ4,ID4,IH4,IL4,IP4,IT4)</f>
        <v>0</v>
      </c>
      <c r="AE4">
        <f t="shared" ref="AE4" si="50">SUM(AK4,AO4,AS4,AW4,BA4,BE4,BI4,BM4,BQ4,BU4,BY4,CC4,CG4,CK4,CO4,CS4,CW4)</f>
        <v>0</v>
      </c>
      <c r="AF4">
        <f t="shared" ref="AF4" si="51">SUM(AL4,AP4,AT4,AX4,BB4,BF4,BJ4,BN4,BR4,BV4,BZ4,CD4,CH4,CL4,CP4,CT4,CX4)</f>
        <v>0</v>
      </c>
      <c r="AG4">
        <f t="shared" si="2"/>
        <v>0</v>
      </c>
      <c r="AH4" t="e">
        <f>SUM(IX4,JB4,JF4,JJ4,JN4,JR4,JV4,JZ4,KD4,KH4,KL4,KP4,KT4,KX4,LB4,LF4,LJ4,LN4,LR4,LV4,LZ4,MD4,#REF!,ML4,MP4,MT4,MX4,NB4,NF4,NJ4,NN4,NR4,NV4,NZ4,OD4,OH4,OL4,OP4,OT4,OX4,PB4,PF4,PJ4,PN4,PR4)</f>
        <v>#REF!</v>
      </c>
      <c r="AI4">
        <v>45</v>
      </c>
      <c r="AJ4" t="s">
        <v>145</v>
      </c>
      <c r="AM4">
        <v>45</v>
      </c>
      <c r="AN4" t="s">
        <v>145</v>
      </c>
      <c r="AQ4">
        <v>30</v>
      </c>
      <c r="AR4" t="s">
        <v>146</v>
      </c>
      <c r="PS4" s="3">
        <f t="shared" ref="PS4" si="52">COUNTIF(AI4:PR4,"HG")</f>
        <v>0</v>
      </c>
      <c r="PT4" s="3">
        <f t="shared" ref="PT4" si="53">COUNTIF(CY4:GX4,"HG")</f>
        <v>0</v>
      </c>
      <c r="PU4" s="3">
        <f t="shared" ref="PU4" si="54">COUNTIF(GY4:IT4,"HG")</f>
        <v>0</v>
      </c>
      <c r="PV4">
        <f>COUNTIF(IU:PR,"HG")</f>
        <v>0</v>
      </c>
      <c r="PW4">
        <f t="shared" ref="PW4" si="55">G4-(K4+O4+S4)</f>
        <v>3</v>
      </c>
    </row>
    <row r="5" spans="1:439" x14ac:dyDescent="0.2">
      <c r="A5" t="s">
        <v>112</v>
      </c>
      <c r="B5">
        <f t="shared" si="32"/>
        <v>105</v>
      </c>
      <c r="C5">
        <f t="shared" si="3"/>
        <v>0</v>
      </c>
      <c r="D5">
        <f t="shared" si="4"/>
        <v>0</v>
      </c>
      <c r="E5">
        <f t="shared" si="5"/>
        <v>0</v>
      </c>
      <c r="F5">
        <f t="shared" si="6"/>
        <v>105</v>
      </c>
      <c r="G5">
        <f t="shared" si="7"/>
        <v>2</v>
      </c>
      <c r="H5" s="3">
        <f t="shared" si="8"/>
        <v>2</v>
      </c>
      <c r="I5" s="3">
        <f t="shared" si="9"/>
        <v>0</v>
      </c>
      <c r="J5" s="3">
        <f t="shared" si="10"/>
        <v>0</v>
      </c>
      <c r="K5">
        <f t="shared" si="11"/>
        <v>0</v>
      </c>
      <c r="L5" s="3">
        <f t="shared" si="12"/>
        <v>0</v>
      </c>
      <c r="M5" s="3">
        <f t="shared" si="13"/>
        <v>0</v>
      </c>
      <c r="N5" s="3">
        <f t="shared" si="14"/>
        <v>0</v>
      </c>
      <c r="O5">
        <f t="shared" si="15"/>
        <v>0</v>
      </c>
      <c r="P5" s="3">
        <f t="shared" si="16"/>
        <v>0</v>
      </c>
      <c r="Q5" s="3">
        <f t="shared" si="17"/>
        <v>0</v>
      </c>
      <c r="R5" s="3">
        <f t="shared" si="18"/>
        <v>0</v>
      </c>
      <c r="S5">
        <f t="shared" si="19"/>
        <v>0</v>
      </c>
      <c r="T5" s="3">
        <f t="shared" si="20"/>
        <v>0</v>
      </c>
      <c r="U5" s="3">
        <f t="shared" si="21"/>
        <v>0</v>
      </c>
      <c r="V5" s="3">
        <f>COUNTIF(IU:PR,"NR")</f>
        <v>0</v>
      </c>
      <c r="W5" s="3">
        <f t="shared" si="0"/>
        <v>0</v>
      </c>
      <c r="X5" s="4">
        <f t="shared" si="1"/>
        <v>0</v>
      </c>
      <c r="Y5" s="4" t="e">
        <f>SUM(AL5,AP5,AT5,AX5,BB5,BF5,BJ5,BN5,BR5,BV5,BZ5,CD5,CH5,CL5,CP5,CT5,CX5,DB5,DF5,DJ5,DN5,DR5,DV5,DZ5,ED5,EH5,EL5,EP5,ET5,EX5,FB5,FF5,FJ5,FN5,FR5,FV5,FZ5,GD5,GH5,GL5,GP5,GT5,GX5,HB5,HF5,HJ5,HN5,HR5,HV5,HZ5,ID5,IH5,IL5,IP5,IT5,IX5,JB5,JF5,JJ5,JN5,JR5,JV5,JZ5,KD5,KH5,KL5,KP5,KT5,KX5,LB5,LF5,LJ5,LN5,LR5,LV5,LZ5,MD5,#REF!,ML5,MP5,MT5,MX5,NB5,NF5,NJ5,NN5,NR5,NV5,NZ5,OD5,OH5,OL5,OP5,OT5,OX5,PB5,PF5,PJ5,PN5,PR5)</f>
        <v>#REF!</v>
      </c>
      <c r="Z5" s="4" t="e">
        <f>SUM(DB5,DF5,DJ5,DN5,DR5,DV5,DZ5,ED5,EH5,EL5,EP5,ET5,EX5,FB5,FF5,FJ5,FN5,FR5,FV5,FZ5,GD5,GH5,GL5,GP5,GT5,GX5,HB5,HF5,HJ5,HN5,HR5,HV5,HZ5,ID5,IH5,IL5,IP5,IT5,IX5,JB5,JF5,JJ5,JN5,JR5,JV5,JZ5,KD5,KH5,KL5,KP5,KT5,KX5,LB5,LF5,LJ5,LN5,LR5,LV5,LZ5,MD5,#REF!,ML5,MP5,MT5,MX5,NB5,NF5,NJ5,NN5,NR5,NV5,NZ5,OD5,OH5,OL5,OP5,OT5,OX5,PB5,PF5,PJ5,PN5,PR5)</f>
        <v>#REF!</v>
      </c>
      <c r="AA5">
        <f t="shared" si="22"/>
        <v>0</v>
      </c>
      <c r="AB5">
        <f t="shared" si="23"/>
        <v>0</v>
      </c>
      <c r="AC5">
        <f t="shared" si="24"/>
        <v>0</v>
      </c>
      <c r="AD5">
        <f t="shared" si="25"/>
        <v>0</v>
      </c>
      <c r="AE5">
        <f t="shared" si="26"/>
        <v>0</v>
      </c>
      <c r="AF5">
        <f t="shared" si="27"/>
        <v>0</v>
      </c>
      <c r="AG5">
        <f t="shared" si="2"/>
        <v>0</v>
      </c>
      <c r="AH5" t="e">
        <f>SUM(IX5,JB5,JF5,JJ5,JN5,JR5,JV5,JZ5,KD5,KH5,KL5,KP5,KT5,KX5,LB5,LF5,LJ5,LN5,LR5,LV5,LZ5,MD5,#REF!,ML5,MP5,MT5,MX5,NB5,NF5,NJ5,NN5,NR5,NV5,NZ5,OD5,OH5,OL5,OP5,OT5,OX5,PB5,PF5,PJ5,PN5,PR5)</f>
        <v>#REF!</v>
      </c>
      <c r="AM5">
        <v>45</v>
      </c>
      <c r="AN5" t="s">
        <v>145</v>
      </c>
      <c r="AQ5">
        <v>60</v>
      </c>
      <c r="AR5" t="s">
        <v>145</v>
      </c>
      <c r="PS5" s="3">
        <f t="shared" si="28"/>
        <v>0</v>
      </c>
      <c r="PT5" s="3">
        <f t="shared" si="29"/>
        <v>0</v>
      </c>
      <c r="PU5" s="3">
        <f t="shared" si="30"/>
        <v>0</v>
      </c>
      <c r="PV5">
        <f>COUNTIF(IU:PR,"HG")</f>
        <v>0</v>
      </c>
      <c r="PW5">
        <f t="shared" si="31"/>
        <v>2</v>
      </c>
    </row>
    <row r="6" spans="1:439" x14ac:dyDescent="0.2">
      <c r="A6" t="s">
        <v>129</v>
      </c>
      <c r="B6">
        <f t="shared" si="32"/>
        <v>120</v>
      </c>
      <c r="C6">
        <f t="shared" si="3"/>
        <v>0</v>
      </c>
      <c r="D6">
        <f t="shared" si="4"/>
        <v>0</v>
      </c>
      <c r="E6">
        <f t="shared" si="5"/>
        <v>0</v>
      </c>
      <c r="F6">
        <f t="shared" si="6"/>
        <v>120</v>
      </c>
      <c r="G6">
        <f t="shared" si="7"/>
        <v>3</v>
      </c>
      <c r="H6" s="3">
        <f t="shared" si="8"/>
        <v>1</v>
      </c>
      <c r="I6" s="3">
        <f t="shared" si="9"/>
        <v>2</v>
      </c>
      <c r="J6" s="3">
        <f t="shared" si="10"/>
        <v>0</v>
      </c>
      <c r="K6">
        <f t="shared" si="11"/>
        <v>0</v>
      </c>
      <c r="L6" s="3">
        <f t="shared" si="12"/>
        <v>0</v>
      </c>
      <c r="M6" s="3">
        <f t="shared" si="13"/>
        <v>0</v>
      </c>
      <c r="N6" s="3">
        <f t="shared" si="14"/>
        <v>0</v>
      </c>
      <c r="O6">
        <f t="shared" si="15"/>
        <v>0</v>
      </c>
      <c r="P6" s="3">
        <f t="shared" si="16"/>
        <v>0</v>
      </c>
      <c r="Q6" s="3">
        <f t="shared" si="17"/>
        <v>0</v>
      </c>
      <c r="R6" s="3">
        <f t="shared" si="18"/>
        <v>0</v>
      </c>
      <c r="S6">
        <f t="shared" si="19"/>
        <v>0</v>
      </c>
      <c r="T6" s="3">
        <f t="shared" si="20"/>
        <v>0</v>
      </c>
      <c r="U6" s="3">
        <f t="shared" si="21"/>
        <v>0</v>
      </c>
      <c r="V6" s="3">
        <f>COUNTIF(IU:PR,"NR")</f>
        <v>0</v>
      </c>
      <c r="W6" s="3">
        <f t="shared" si="0"/>
        <v>0</v>
      </c>
      <c r="X6" s="4">
        <f t="shared" si="1"/>
        <v>0</v>
      </c>
      <c r="Y6" s="4" t="e">
        <f>SUM(AL6,AP6,AT6,AX6,BB6,BF6,BJ6,BN6,BR6,BV6,BZ6,CD6,CH6,CL6,CP6,CT6,CX6,DB6,DF6,DJ6,DN6,DR6,DV6,DZ6,ED6,EH6,EL6,EP6,ET6,EX6,FB6,FF6,FJ6,FN6,FR6,FV6,FZ6,GD6,GH6,GL6,GP6,GT6,GX6,HB6,HF6,HJ6,HN6,HR6,HV6,HZ6,ID6,IH6,IL6,IP6,IT6,IX6,JB6,JF6,JJ6,JN6,JR6,JV6,JZ6,KD6,KH6,KL6,KP6,KT6,KX6,LB6,LF6,LJ6,LN6,LR6,LV6,LZ6,MD6,#REF!,ML6,MP6,MT6,MX6,NB6,NF6,NJ6,NN6,NR6,NV6,NZ6,OD6,OH6,OL6,OP6,OT6,OX6,PB6,PF6,PJ6,PN6,PR6)</f>
        <v>#REF!</v>
      </c>
      <c r="Z6" s="4" t="e">
        <f>SUM(DB6,DF6,DJ6,DN6,DR6,DV6,DZ6,ED6,EH6,EL6,EP6,ET6,EX6,FB6,FF6,FJ6,FN6,FR6,FV6,FZ6,GD6,GH6,GL6,GP6,GT6,GX6,HB6,HF6,HJ6,HN6,HR6,HV6,HZ6,ID6,IH6,IL6,IP6,IT6,IX6,JB6,JF6,JJ6,JN6,JR6,JV6,JZ6,KD6,KH6,KL6,KP6,KT6,KX6,LB6,LF6,LJ6,LN6,LR6,LV6,LZ6,MD6,#REF!,ML6,MP6,MT6,MX6,NB6,NF6,NJ6,NN6,NR6,NV6,NZ6,OD6,OH6,OL6,OP6,OT6,OX6,PB6,PF6,PJ6,PN6,PR6)</f>
        <v>#REF!</v>
      </c>
      <c r="AA6">
        <f t="shared" si="22"/>
        <v>0</v>
      </c>
      <c r="AB6">
        <f t="shared" si="23"/>
        <v>0</v>
      </c>
      <c r="AC6">
        <f t="shared" si="24"/>
        <v>0</v>
      </c>
      <c r="AD6">
        <f t="shared" si="25"/>
        <v>0</v>
      </c>
      <c r="AE6">
        <f t="shared" si="26"/>
        <v>0</v>
      </c>
      <c r="AF6">
        <f t="shared" si="27"/>
        <v>0</v>
      </c>
      <c r="AG6">
        <f t="shared" si="2"/>
        <v>0</v>
      </c>
      <c r="AH6" t="e">
        <f>SUM(IX6,JB6,JF6,JJ6,JN6,JR6,JV6,JZ6,KD6,KH6,KL6,KP6,KT6,KX6,LB6,LF6,LJ6,LN6,LR6,LV6,LZ6,MD6,#REF!,ML6,MP6,MT6,MX6,NB6,NF6,NJ6,NN6,NR6,NV6,NZ6,OD6,OH6,OL6,OP6,OT6,OX6,PB6,PF6,PJ6,PN6,PR6)</f>
        <v>#REF!</v>
      </c>
      <c r="AI6">
        <v>45</v>
      </c>
      <c r="AJ6" t="s">
        <v>146</v>
      </c>
      <c r="AM6">
        <v>45</v>
      </c>
      <c r="AN6" t="s">
        <v>145</v>
      </c>
      <c r="AQ6">
        <v>30</v>
      </c>
      <c r="AR6" t="s">
        <v>146</v>
      </c>
      <c r="PS6" s="3">
        <f t="shared" si="28"/>
        <v>0</v>
      </c>
      <c r="PT6" s="3">
        <f t="shared" si="29"/>
        <v>0</v>
      </c>
      <c r="PU6" s="3">
        <f t="shared" si="30"/>
        <v>0</v>
      </c>
      <c r="PV6">
        <f>COUNTIF(IU:PR,"HG")</f>
        <v>0</v>
      </c>
      <c r="PW6">
        <f t="shared" si="31"/>
        <v>3</v>
      </c>
    </row>
    <row r="7" spans="1:439" x14ac:dyDescent="0.2">
      <c r="A7" t="s">
        <v>130</v>
      </c>
      <c r="B7">
        <f t="shared" si="32"/>
        <v>0</v>
      </c>
      <c r="C7">
        <f t="shared" si="3"/>
        <v>0</v>
      </c>
      <c r="D7">
        <f t="shared" si="4"/>
        <v>0</v>
      </c>
      <c r="E7">
        <f t="shared" si="5"/>
        <v>0</v>
      </c>
      <c r="F7">
        <f t="shared" si="6"/>
        <v>0</v>
      </c>
      <c r="G7">
        <f t="shared" si="7"/>
        <v>0</v>
      </c>
      <c r="H7" s="3">
        <f t="shared" si="8"/>
        <v>0</v>
      </c>
      <c r="I7" s="3">
        <f t="shared" si="9"/>
        <v>0</v>
      </c>
      <c r="J7" s="3">
        <f t="shared" si="10"/>
        <v>0</v>
      </c>
      <c r="K7">
        <f t="shared" si="11"/>
        <v>0</v>
      </c>
      <c r="L7" s="3">
        <f t="shared" si="12"/>
        <v>0</v>
      </c>
      <c r="M7" s="3">
        <f t="shared" si="13"/>
        <v>0</v>
      </c>
      <c r="N7" s="3">
        <f t="shared" si="14"/>
        <v>0</v>
      </c>
      <c r="O7">
        <f t="shared" si="15"/>
        <v>0</v>
      </c>
      <c r="P7" s="3">
        <f t="shared" si="16"/>
        <v>0</v>
      </c>
      <c r="Q7" s="3">
        <f t="shared" si="17"/>
        <v>0</v>
      </c>
      <c r="R7" s="3">
        <f t="shared" si="18"/>
        <v>0</v>
      </c>
      <c r="S7">
        <f t="shared" si="19"/>
        <v>0</v>
      </c>
      <c r="T7" s="3">
        <f t="shared" si="20"/>
        <v>0</v>
      </c>
      <c r="U7" s="3">
        <f t="shared" si="21"/>
        <v>0</v>
      </c>
      <c r="V7" s="3">
        <f>COUNTIF(IU:PR,"NR")</f>
        <v>0</v>
      </c>
      <c r="W7" s="3">
        <f t="shared" si="0"/>
        <v>0</v>
      </c>
      <c r="X7" s="4">
        <f t="shared" si="1"/>
        <v>0</v>
      </c>
      <c r="Y7" s="4" t="e">
        <f>SUM(AL7,AP7,AT7,AX7,BB7,BF7,BJ7,BN7,BR7,BV7,BZ7,CD7,CH7,CL7,CP7,CT7,CX7,DB7,DF7,DJ7,DN7,DR7,DV7,DZ7,ED7,EH7,EL7,EP7,ET7,EX7,FB7,FF7,FJ7,FN7,FR7,FV7,FZ7,GD7,GH7,GL7,GP7,GT7,GX7,HB7,HF7,HJ7,HN7,HR7,HV7,HZ7,ID7,IH7,IL7,IP7,IT7,IX7,JB7,JF7,JJ7,JN7,JR7,JV7,JZ7,KD7,KH7,KL7,KP7,KT7,KX7,LB7,LF7,LJ7,LN7,LR7,LV7,LZ7,MD7,#REF!,ML7,MP7,MT7,MX7,NB7,NF7,NJ7,NN7,NR7,NV7,NZ7,OD7,OH7,OL7,OP7,OT7,OX7,PB7,PF7,PJ7,PN7,PR7)</f>
        <v>#REF!</v>
      </c>
      <c r="Z7" s="4" t="e">
        <f>SUM(DB7,DF7,DJ7,DN7,DR7,DV7,DZ7,ED7,EH7,EL7,EP7,ET7,EX7,FB7,FF7,FJ7,FN7,FR7,FV7,FZ7,GD7,GH7,GL7,GP7,GT7,GX7,HB7,HF7,HJ7,HN7,HR7,HV7,HZ7,ID7,IH7,IL7,IP7,IT7,IX7,JB7,JF7,JJ7,JN7,JR7,JV7,JZ7,KD7,KH7,KL7,KP7,KT7,KX7,LB7,LF7,LJ7,LN7,LR7,LV7,LZ7,MD7,#REF!,ML7,MP7,MT7,MX7,NB7,NF7,NJ7,NN7,NR7,NV7,NZ7,OD7,OH7,OL7,OP7,OT7,OX7,PB7,PF7,PJ7,PN7,PR7)</f>
        <v>#REF!</v>
      </c>
      <c r="AA7">
        <f t="shared" si="22"/>
        <v>0</v>
      </c>
      <c r="AB7">
        <f t="shared" si="23"/>
        <v>0</v>
      </c>
      <c r="AC7">
        <f t="shared" si="24"/>
        <v>0</v>
      </c>
      <c r="AD7">
        <f t="shared" si="25"/>
        <v>0</v>
      </c>
      <c r="AE7">
        <f t="shared" si="26"/>
        <v>0</v>
      </c>
      <c r="AF7">
        <f t="shared" si="27"/>
        <v>0</v>
      </c>
      <c r="AG7">
        <f t="shared" si="2"/>
        <v>0</v>
      </c>
      <c r="AH7" t="e">
        <f>SUM(IX7,JB7,JF7,JJ7,JN7,JR7,JV7,JZ7,KD7,KH7,KL7,KP7,KT7,KX7,LB7,LF7,LJ7,LN7,LR7,LV7,LZ7,MD7,#REF!,ML7,MP7,MT7,MX7,NB7,NF7,NJ7,NN7,NR7,NV7,NZ7,OD7,OH7,OL7,OP7,OT7,OX7,PB7,PF7,PJ7,PN7,PR7)</f>
        <v>#REF!</v>
      </c>
      <c r="PS7" s="3">
        <f t="shared" si="28"/>
        <v>0</v>
      </c>
      <c r="PT7" s="3">
        <f t="shared" si="29"/>
        <v>0</v>
      </c>
      <c r="PU7" s="3">
        <f t="shared" si="30"/>
        <v>0</v>
      </c>
      <c r="PV7">
        <f>COUNTIF(IU:PR,"HG")</f>
        <v>0</v>
      </c>
      <c r="PW7">
        <f t="shared" si="31"/>
        <v>0</v>
      </c>
    </row>
    <row r="8" spans="1:439" x14ac:dyDescent="0.2">
      <c r="A8" t="s">
        <v>131</v>
      </c>
      <c r="B8">
        <f t="shared" si="32"/>
        <v>150</v>
      </c>
      <c r="C8">
        <f t="shared" si="3"/>
        <v>0</v>
      </c>
      <c r="D8">
        <f t="shared" si="4"/>
        <v>0</v>
      </c>
      <c r="E8">
        <f t="shared" si="5"/>
        <v>0</v>
      </c>
      <c r="F8">
        <f t="shared" si="6"/>
        <v>150</v>
      </c>
      <c r="G8">
        <f t="shared" si="7"/>
        <v>3</v>
      </c>
      <c r="H8" s="3">
        <f t="shared" si="8"/>
        <v>1</v>
      </c>
      <c r="I8" s="3">
        <f t="shared" si="9"/>
        <v>2</v>
      </c>
      <c r="J8" s="3">
        <f t="shared" si="10"/>
        <v>0</v>
      </c>
      <c r="K8">
        <f t="shared" si="11"/>
        <v>0</v>
      </c>
      <c r="L8" s="3">
        <f t="shared" si="12"/>
        <v>0</v>
      </c>
      <c r="M8" s="3">
        <f t="shared" si="13"/>
        <v>0</v>
      </c>
      <c r="N8" s="3">
        <f t="shared" si="14"/>
        <v>0</v>
      </c>
      <c r="O8">
        <f t="shared" si="15"/>
        <v>0</v>
      </c>
      <c r="P8" s="3">
        <f t="shared" si="16"/>
        <v>0</v>
      </c>
      <c r="Q8" s="3">
        <f t="shared" si="17"/>
        <v>0</v>
      </c>
      <c r="R8" s="3">
        <f t="shared" si="18"/>
        <v>0</v>
      </c>
      <c r="S8">
        <f>SUM(T8:U8)</f>
        <v>0</v>
      </c>
      <c r="T8" s="3">
        <f t="shared" si="20"/>
        <v>0</v>
      </c>
      <c r="U8" s="3">
        <f t="shared" si="21"/>
        <v>0</v>
      </c>
      <c r="V8" s="3">
        <f>COUNTIF(IU:PR,"NR")</f>
        <v>0</v>
      </c>
      <c r="W8" s="3">
        <f t="shared" si="0"/>
        <v>0</v>
      </c>
      <c r="X8" s="4">
        <f t="shared" si="1"/>
        <v>0</v>
      </c>
      <c r="Y8" s="4" t="e">
        <f>SUM(AL8,AP8,AT8,AX8,BB8,BF8,BJ8,BN8,BR8,BV8,BZ8,CD8,CH8,CL8,CP8,CT8,CX8,DB8,DF8,DJ8,DN8,DR8,DV8,DZ8,ED8,EH8,EL8,EP8,ET8,EX8,FB8,FF8,FJ8,FN8,FR8,FV8,FZ8,GD8,GH8,GL8,GP8,GT8,GX8,HB8,HF8,HJ8,HN8,HR8,HV8,HZ8,ID8,IH8,IL8,IP8,IT8,IX8,JB8,JF8,JJ8,JN8,JR8,JV8,JZ8,KD8,KH8,KL8,KP8,KT8,KX8,LB8,LF8,LJ8,LN8,LR8,LV8,LZ8,MD8,#REF!,ML8,MP8,MT8,MX8,NB8,NF8,NJ8,NN8,NR8,NV8,NZ8,OD8,OH8,OL8,OP8,OT8,OX8,PB8,PF8,PJ8,PN8,PR8)</f>
        <v>#REF!</v>
      </c>
      <c r="Z8" s="4" t="e">
        <f>SUM(DB8,DF8,DJ8,DN8,DR8,DV8,DZ8,ED8,EH8,EL8,EP8,ET8,EX8,FB8,FF8,FJ8,FN8,FR8,FV8,FZ8,GD8,GH8,GL8,GP8,GT8,GX8,HB8,HF8,HJ8,HN8,HR8,HV8,HZ8,ID8,IH8,IL8,IP8,IT8,IX8,JB8,JF8,JJ8,JN8,JR8,JV8,JZ8,KD8,KH8,KL8,KP8,KT8,KX8,LB8,LF8,LJ8,LN8,LR8,LV8,LZ8,MD8,#REF!,ML8,MP8,MT8,MX8,NB8,NF8,NJ8,NN8,NR8,NV8,NZ8,OD8,OH8,OL8,OP8,OT8,OX8,PB8,PF8,PJ8,PN8,PR8)</f>
        <v>#REF!</v>
      </c>
      <c r="AA8">
        <f t="shared" si="22"/>
        <v>0</v>
      </c>
      <c r="AB8">
        <f t="shared" si="23"/>
        <v>0</v>
      </c>
      <c r="AC8">
        <f t="shared" si="24"/>
        <v>0</v>
      </c>
      <c r="AD8">
        <f t="shared" si="25"/>
        <v>0</v>
      </c>
      <c r="AE8">
        <f t="shared" si="26"/>
        <v>0</v>
      </c>
      <c r="AF8">
        <f t="shared" si="27"/>
        <v>0</v>
      </c>
      <c r="AG8">
        <f t="shared" si="2"/>
        <v>0</v>
      </c>
      <c r="AH8" t="e">
        <f>SUM(IX8,JB8,JF8,JJ8,JN8,JR8,JV8,JZ8,KD8,KH8,KL8,KP8,KT8,KX8,LB8,LF8,LJ8,LN8,LR8,LV8,LZ8,MD8,#REF!,ML8,MP8,MT8,MX8,NB8,NF8,NJ8,NN8,NR8,NV8,NZ8,OD8,OH8,OL8,OP8,OT8,OX8,PB8,PF8,PJ8,PN8,PR8)</f>
        <v>#REF!</v>
      </c>
      <c r="AI8">
        <v>45</v>
      </c>
      <c r="AJ8" t="s">
        <v>146</v>
      </c>
      <c r="AM8">
        <v>45</v>
      </c>
      <c r="AN8" t="s">
        <v>146</v>
      </c>
      <c r="AQ8">
        <v>60</v>
      </c>
      <c r="AR8" t="s">
        <v>145</v>
      </c>
      <c r="PS8" s="3">
        <f t="shared" si="28"/>
        <v>0</v>
      </c>
      <c r="PT8" s="3">
        <f t="shared" si="29"/>
        <v>0</v>
      </c>
      <c r="PU8" s="3">
        <f t="shared" si="30"/>
        <v>0</v>
      </c>
      <c r="PV8">
        <f>COUNTIF(IU:PR,"HG")</f>
        <v>0</v>
      </c>
      <c r="PW8">
        <f t="shared" si="31"/>
        <v>3</v>
      </c>
    </row>
    <row r="9" spans="1:439" x14ac:dyDescent="0.2">
      <c r="A9" t="s">
        <v>118</v>
      </c>
      <c r="B9">
        <f t="shared" si="32"/>
        <v>30</v>
      </c>
      <c r="C9">
        <f t="shared" si="3"/>
        <v>0</v>
      </c>
      <c r="D9">
        <f t="shared" si="4"/>
        <v>0</v>
      </c>
      <c r="E9">
        <f t="shared" si="5"/>
        <v>0</v>
      </c>
      <c r="F9">
        <f t="shared" si="6"/>
        <v>30</v>
      </c>
      <c r="G9">
        <f t="shared" si="7"/>
        <v>1</v>
      </c>
      <c r="H9" s="3">
        <f t="shared" si="8"/>
        <v>0</v>
      </c>
      <c r="I9" s="3">
        <f t="shared" si="9"/>
        <v>1</v>
      </c>
      <c r="J9" s="3">
        <f t="shared" si="10"/>
        <v>0</v>
      </c>
      <c r="K9">
        <f t="shared" si="11"/>
        <v>0</v>
      </c>
      <c r="L9" s="3">
        <f t="shared" si="12"/>
        <v>0</v>
      </c>
      <c r="M9" s="3">
        <f t="shared" si="13"/>
        <v>0</v>
      </c>
      <c r="N9" s="3">
        <f t="shared" si="14"/>
        <v>0</v>
      </c>
      <c r="O9">
        <f t="shared" si="15"/>
        <v>0</v>
      </c>
      <c r="P9" s="3">
        <f t="shared" si="16"/>
        <v>0</v>
      </c>
      <c r="Q9" s="3">
        <f t="shared" si="17"/>
        <v>0</v>
      </c>
      <c r="R9" s="3">
        <f t="shared" si="18"/>
        <v>0</v>
      </c>
      <c r="S9">
        <f t="shared" si="19"/>
        <v>0</v>
      </c>
      <c r="T9" s="3">
        <f t="shared" si="20"/>
        <v>0</v>
      </c>
      <c r="U9" s="3">
        <f t="shared" si="21"/>
        <v>0</v>
      </c>
      <c r="V9" s="3">
        <f>COUNTIF(IU:PR,"NR")</f>
        <v>0</v>
      </c>
      <c r="W9" s="3">
        <f t="shared" si="0"/>
        <v>0</v>
      </c>
      <c r="X9" s="4">
        <f t="shared" si="1"/>
        <v>0</v>
      </c>
      <c r="Y9" s="4" t="e">
        <f>SUM(AL9,AP9,AT9,AX9,BB9,BF9,BJ9,BN9,BR9,BV9,BZ9,CD9,CH9,CL9,CP9,CT9,CX9,DB9,DF9,DJ9,DN9,DR9,DV9,DZ9,ED9,EH9,EL9,EP9,ET9,EX9,FB9,FF9,FJ9,FN9,FR9,FV9,FZ9,GD9,GH9,GL9,GP9,GT9,GX9,HB9,HF9,HJ9,HN9,HR9,HV9,HZ9,ID9,IH9,IL9,IP9,IT9,IX9,JB9,JF9,JJ9,JN9,JR9,JV9,JZ9,KD9,KH9,KL9,KP9,KT9,KX9,LB9,LF9,LJ9,LN9,LR9,LV9,LZ9,MD9,#REF!,ML9,MP9,MT9,MX9,NB9,NF9,NJ9,NN9,NR9,NV9,NZ9,OD9,OH9,OL9,OP9,OT9,OX9,PB9,PF9,PJ9,PN9,PR9)</f>
        <v>#REF!</v>
      </c>
      <c r="Z9" s="4" t="e">
        <f>SUM(DB9,DF9,DJ9,DN9,DR9,DV9,DZ9,ED9,EH9,EL9,EP9,ET9,EX9,FB9,FF9,FJ9,FN9,FR9,FV9,FZ9,GD9,GH9,GL9,GP9,GT9,GX9,HB9,HF9,HJ9,HN9,HR9,HV9,HZ9,ID9,IH9,IL9,IP9,IT9,IX9,JB9,JF9,JJ9,JN9,JR9,JV9,JZ9,KD9,KH9,KL9,KP9,KT9,KX9,LB9,LF9,LJ9,LN9,LR9,LV9,LZ9,MD9,#REF!,ML9,MP9,MT9,MX9,NB9,NF9,NJ9,NN9,NR9,NV9,NZ9,OD9,OH9,OL9,OP9,OT9,OX9,PB9,PF9,PJ9,PN9,PR9)</f>
        <v>#REF!</v>
      </c>
      <c r="AA9">
        <f t="shared" si="22"/>
        <v>0</v>
      </c>
      <c r="AB9">
        <f t="shared" si="23"/>
        <v>0</v>
      </c>
      <c r="AC9">
        <f t="shared" si="24"/>
        <v>0</v>
      </c>
      <c r="AD9">
        <f t="shared" si="25"/>
        <v>0</v>
      </c>
      <c r="AE9">
        <f t="shared" si="26"/>
        <v>0</v>
      </c>
      <c r="AF9">
        <f t="shared" si="27"/>
        <v>0</v>
      </c>
      <c r="AG9">
        <f t="shared" si="2"/>
        <v>0</v>
      </c>
      <c r="AH9" t="e">
        <f>SUM(IX9,JB9,JF9,JJ9,JN9,JR9,JV9,JZ9,KD9,KH9,KL9,KP9,KT9,KX9,LB9,LF9,LJ9,LN9,LR9,LV9,LZ9,MD9,#REF!,ML9,MP9,MT9,MX9,NB9,NF9,NJ9,NN9,NR9,NV9,NZ9,OD9,OH9,OL9,OP9,OT9,OX9,PB9,PF9,PJ9,PN9,PR9)</f>
        <v>#REF!</v>
      </c>
      <c r="AQ9">
        <v>30</v>
      </c>
      <c r="AR9" t="s">
        <v>146</v>
      </c>
      <c r="PS9" s="3">
        <f t="shared" si="28"/>
        <v>0</v>
      </c>
      <c r="PT9" s="3">
        <f t="shared" si="29"/>
        <v>0</v>
      </c>
      <c r="PU9" s="3">
        <f t="shared" si="30"/>
        <v>0</v>
      </c>
      <c r="PV9">
        <f>COUNTIF(IU:PR,"HG")</f>
        <v>0</v>
      </c>
      <c r="PW9">
        <f t="shared" si="31"/>
        <v>1</v>
      </c>
    </row>
    <row r="10" spans="1:439" x14ac:dyDescent="0.2">
      <c r="A10" t="s">
        <v>132</v>
      </c>
      <c r="B10">
        <f t="shared" si="32"/>
        <v>150</v>
      </c>
      <c r="C10">
        <f t="shared" si="3"/>
        <v>0</v>
      </c>
      <c r="D10">
        <f t="shared" si="4"/>
        <v>0</v>
      </c>
      <c r="E10">
        <f t="shared" si="5"/>
        <v>0</v>
      </c>
      <c r="F10">
        <f t="shared" si="6"/>
        <v>150</v>
      </c>
      <c r="G10">
        <f t="shared" si="7"/>
        <v>3</v>
      </c>
      <c r="H10" s="3">
        <f t="shared" si="8"/>
        <v>2</v>
      </c>
      <c r="I10" s="3">
        <f t="shared" si="9"/>
        <v>1</v>
      </c>
      <c r="J10" s="3">
        <f t="shared" si="10"/>
        <v>0</v>
      </c>
      <c r="K10">
        <f t="shared" si="11"/>
        <v>0</v>
      </c>
      <c r="L10" s="3">
        <f t="shared" si="12"/>
        <v>0</v>
      </c>
      <c r="M10" s="3">
        <f t="shared" si="13"/>
        <v>0</v>
      </c>
      <c r="N10" s="3">
        <f t="shared" si="14"/>
        <v>0</v>
      </c>
      <c r="O10">
        <f t="shared" si="15"/>
        <v>0</v>
      </c>
      <c r="P10" s="3">
        <f t="shared" si="16"/>
        <v>0</v>
      </c>
      <c r="Q10" s="3">
        <f t="shared" si="17"/>
        <v>0</v>
      </c>
      <c r="R10" s="3">
        <f t="shared" si="18"/>
        <v>0</v>
      </c>
      <c r="S10">
        <f t="shared" si="19"/>
        <v>0</v>
      </c>
      <c r="T10" s="3">
        <f t="shared" si="20"/>
        <v>0</v>
      </c>
      <c r="U10" s="3">
        <f t="shared" si="21"/>
        <v>0</v>
      </c>
      <c r="V10" s="3">
        <f>COUNTIF(IU:PR,"NR")</f>
        <v>0</v>
      </c>
      <c r="W10" s="3">
        <f t="shared" si="0"/>
        <v>0</v>
      </c>
      <c r="X10" s="4">
        <f t="shared" si="1"/>
        <v>0</v>
      </c>
      <c r="Y10" s="4" t="e">
        <f>SUM(AL10,AP10,AT10,AX10,BB10,BF10,BJ10,BN10,BR10,BV10,BZ10,CD10,CH10,CL10,CP10,CT10,CX10,DB10,DF10,DJ10,DN10,DR10,DV10,DZ10,ED10,EH10,EL10,EP10,ET10,EX10,FB10,FF10,FJ10,FN10,FR10,FV10,FZ10,GD10,GH10,GL10,GP10,GT10,GX10,HB10,HF10,HJ10,HN10,HR10,HV10,HZ10,ID10,IH10,IL10,IP10,IT10,IX10,JB10,JF10,JJ10,JN10,JR10,JV10,JZ10,KD10,KH10,KL10,KP10,KT10,KX10,LB10,LF10,LJ10,LN10,LR10,LV10,LZ10,MD10,#REF!,ML10,MP10,MT10,MX10,NB10,NF10,NJ10,NN10,NR10,NV10,NZ10,OD10,OH10,OL10,OP10,OT10,OX10,PB10,PF10,PJ10,PN10,PR10)</f>
        <v>#REF!</v>
      </c>
      <c r="Z10" s="4" t="e">
        <f>SUM(DB10,DF10,DJ10,DN10,DR10,DV10,DZ10,ED10,EH10,EL10,EP10,ET10,EX10,FB10,FF10,FJ10,FN10,FR10,FV10,FZ10,GD10,GH10,GL10,GP10,GT10,GX10,HB10,HF10,HJ10,HN10,HR10,HV10,HZ10,ID10,IH10,IL10,IP10,IT10,IX10,JB10,JF10,JJ10,JN10,JR10,JV10,JZ10,KD10,KH10,KL10,KP10,KT10,KX10,LB10,LF10,LJ10,LN10,LR10,LV10,LZ10,MD10,#REF!,ML10,MP10,MT10,MX10,NB10,NF10,NJ10,NN10,NR10,NV10,NZ10,OD10,OH10,OL10,OP10,OT10,OX10,PB10,PF10,PJ10,PN10,PR10)</f>
        <v>#REF!</v>
      </c>
      <c r="AA10">
        <f t="shared" si="22"/>
        <v>0</v>
      </c>
      <c r="AB10">
        <f t="shared" si="23"/>
        <v>0</v>
      </c>
      <c r="AC10">
        <f t="shared" si="24"/>
        <v>0</v>
      </c>
      <c r="AD10">
        <f t="shared" si="25"/>
        <v>0</v>
      </c>
      <c r="AE10">
        <f t="shared" si="26"/>
        <v>0</v>
      </c>
      <c r="AF10">
        <f t="shared" si="27"/>
        <v>0</v>
      </c>
      <c r="AG10">
        <f t="shared" si="2"/>
        <v>0</v>
      </c>
      <c r="AH10" t="e">
        <f>SUM(IX10,JB10,JF10,JJ10,JN10,JR10,JV10,JZ10,KD10,KH10,KL10,KP10,KT10,KX10,LB10,LF10,LJ10,LN10,LR10,LV10,LZ10,MD10,#REF!,ML10,MP10,MT10,MX10,NB10,NF10,NJ10,NN10,NR10,NV10,NZ10,OD10,OH10,OL10,OP10,OT10,OX10,PB10,PF10,PJ10,PN10,PR10)</f>
        <v>#REF!</v>
      </c>
      <c r="AI10">
        <v>45</v>
      </c>
      <c r="AJ10" t="s">
        <v>146</v>
      </c>
      <c r="AM10">
        <v>45</v>
      </c>
      <c r="AN10" t="s">
        <v>145</v>
      </c>
      <c r="AQ10">
        <v>60</v>
      </c>
      <c r="AR10" t="s">
        <v>145</v>
      </c>
      <c r="PS10" s="3">
        <f t="shared" si="28"/>
        <v>0</v>
      </c>
      <c r="PT10" s="3">
        <f t="shared" si="29"/>
        <v>0</v>
      </c>
      <c r="PU10" s="3">
        <f t="shared" si="30"/>
        <v>0</v>
      </c>
      <c r="PV10">
        <f>COUNTIF(IU:PR,"HG")</f>
        <v>0</v>
      </c>
      <c r="PW10">
        <f t="shared" si="31"/>
        <v>3</v>
      </c>
    </row>
    <row r="11" spans="1:439" x14ac:dyDescent="0.2">
      <c r="A11" t="s">
        <v>113</v>
      </c>
      <c r="B11">
        <f t="shared" si="32"/>
        <v>150</v>
      </c>
      <c r="C11">
        <f t="shared" si="3"/>
        <v>0</v>
      </c>
      <c r="D11">
        <f t="shared" si="4"/>
        <v>0</v>
      </c>
      <c r="E11">
        <f t="shared" si="5"/>
        <v>0</v>
      </c>
      <c r="F11">
        <f t="shared" si="6"/>
        <v>150</v>
      </c>
      <c r="G11">
        <f t="shared" si="7"/>
        <v>3</v>
      </c>
      <c r="H11" s="3">
        <f t="shared" si="8"/>
        <v>2</v>
      </c>
      <c r="I11" s="3">
        <f t="shared" si="9"/>
        <v>1</v>
      </c>
      <c r="J11" s="3">
        <f t="shared" si="10"/>
        <v>0</v>
      </c>
      <c r="K11">
        <f t="shared" si="11"/>
        <v>0</v>
      </c>
      <c r="L11" s="3">
        <f t="shared" si="12"/>
        <v>0</v>
      </c>
      <c r="M11" s="3">
        <f t="shared" si="13"/>
        <v>0</v>
      </c>
      <c r="N11" s="3">
        <f t="shared" si="14"/>
        <v>0</v>
      </c>
      <c r="O11">
        <f t="shared" si="15"/>
        <v>0</v>
      </c>
      <c r="P11" s="3">
        <f t="shared" si="16"/>
        <v>0</v>
      </c>
      <c r="Q11" s="3">
        <f t="shared" si="17"/>
        <v>0</v>
      </c>
      <c r="R11" s="3">
        <f t="shared" si="18"/>
        <v>0</v>
      </c>
      <c r="S11">
        <f t="shared" si="19"/>
        <v>0</v>
      </c>
      <c r="T11" s="3">
        <f t="shared" si="20"/>
        <v>0</v>
      </c>
      <c r="U11" s="3">
        <f t="shared" si="21"/>
        <v>0</v>
      </c>
      <c r="V11" s="3">
        <f>COUNTIF(IU:PR,"NR")</f>
        <v>0</v>
      </c>
      <c r="W11" s="3">
        <f t="shared" si="0"/>
        <v>0</v>
      </c>
      <c r="X11" s="4">
        <f t="shared" si="1"/>
        <v>0</v>
      </c>
      <c r="Y11" s="4" t="e">
        <f>SUM(AL11,AP11,AT11,AX11,BB11,BF11,BJ11,BN11,BR11,BV11,BZ11,CD11,CH11,CL11,CP11,CT11,CX11,DB11,DF11,DJ11,DN11,DR11,DV11,DZ11,ED11,EH11,EL11,EP11,ET11,EX11,FB11,FF11,FJ11,FN11,FR11,FV11,FZ11,GD11,GH11,GL11,GP11,GT11,GX11,HB11,HF11,HJ11,HN11,HR11,HV11,HZ11,ID11,IH11,IL11,IP11,IT11,IX11,JB11,JF11,JJ11,JN11,JR11,JV11,JZ11,KD11,KH11,KL11,KP11,KT11,KX11,LB11,LF11,LJ11,LN11,LR11,LV11,LZ11,MD11,#REF!,ML11,MP11,MT11,MX11,NB11,NF11,NJ11,NN11,NR11,NV11,NZ11,OD11,OH11,OL11,OP11,OT11,OX11,PB11,PF11,PJ11,PN11,PR11)</f>
        <v>#REF!</v>
      </c>
      <c r="Z11" s="4" t="e">
        <f>SUM(DB11,DF11,DJ11,DN11,DR11,DV11,DZ11,ED11,EH11,EL11,EP11,ET11,EX11,FB11,FF11,FJ11,FN11,FR11,FV11,FZ11,GD11,GH11,GL11,GP11,GT11,GX11,HB11,HF11,HJ11,HN11,HR11,HV11,HZ11,ID11,IH11,IL11,IP11,IT11,IX11,JB11,JF11,JJ11,JN11,JR11,JV11,JZ11,KD11,KH11,KL11,KP11,KT11,KX11,LB11,LF11,LJ11,LN11,LR11,LV11,LZ11,MD11,#REF!,ML11,MP11,MT11,MX11,NB11,NF11,NJ11,NN11,NR11,NV11,NZ11,OD11,OH11,OL11,OP11,OT11,OX11,PB11,PF11,PJ11,PN11,PR11)</f>
        <v>#REF!</v>
      </c>
      <c r="AA11">
        <f t="shared" si="22"/>
        <v>0</v>
      </c>
      <c r="AB11">
        <f t="shared" si="23"/>
        <v>0</v>
      </c>
      <c r="AC11">
        <f t="shared" si="24"/>
        <v>0</v>
      </c>
      <c r="AD11">
        <f t="shared" si="25"/>
        <v>0</v>
      </c>
      <c r="AE11">
        <f t="shared" si="26"/>
        <v>0</v>
      </c>
      <c r="AF11">
        <f t="shared" si="27"/>
        <v>0</v>
      </c>
      <c r="AG11">
        <f t="shared" si="2"/>
        <v>0</v>
      </c>
      <c r="AH11" t="e">
        <f>SUM(IX11,JB11,JF11,JJ11,JN11,JR11,JV11,JZ11,KD11,KH11,KL11,KP11,KT11,KX11,LB11,LF11,LJ11,LN11,LR11,LV11,LZ11,MD11,#REF!,ML11,MP11,MT11,MX11,NB11,NF11,NJ11,NN11,NR11,NV11,NZ11,OD11,OH11,OL11,OP11,OT11,OX11,PB11,PF11,PJ11,PN11,PR11)</f>
        <v>#REF!</v>
      </c>
      <c r="AI11">
        <v>45</v>
      </c>
      <c r="AJ11" t="s">
        <v>145</v>
      </c>
      <c r="AM11">
        <v>45</v>
      </c>
      <c r="AN11" t="s">
        <v>146</v>
      </c>
      <c r="AQ11">
        <v>60</v>
      </c>
      <c r="AR11" t="s">
        <v>145</v>
      </c>
      <c r="PS11" s="3">
        <f t="shared" si="28"/>
        <v>0</v>
      </c>
      <c r="PT11" s="3">
        <f t="shared" si="29"/>
        <v>0</v>
      </c>
      <c r="PU11" s="3">
        <f t="shared" si="30"/>
        <v>0</v>
      </c>
      <c r="PV11">
        <f>COUNTIF(IU:PR,"HG")</f>
        <v>0</v>
      </c>
      <c r="PW11">
        <f t="shared" si="31"/>
        <v>3</v>
      </c>
    </row>
    <row r="12" spans="1:439" x14ac:dyDescent="0.2">
      <c r="A12" t="s">
        <v>114</v>
      </c>
      <c r="B12">
        <f t="shared" si="32"/>
        <v>45</v>
      </c>
      <c r="C12">
        <f t="shared" si="3"/>
        <v>0</v>
      </c>
      <c r="D12">
        <f t="shared" si="4"/>
        <v>0</v>
      </c>
      <c r="E12">
        <f t="shared" si="5"/>
        <v>0</v>
      </c>
      <c r="F12">
        <f t="shared" si="6"/>
        <v>45</v>
      </c>
      <c r="G12">
        <f t="shared" si="7"/>
        <v>1</v>
      </c>
      <c r="H12" s="3">
        <f t="shared" si="8"/>
        <v>1</v>
      </c>
      <c r="I12" s="3">
        <f t="shared" si="9"/>
        <v>0</v>
      </c>
      <c r="J12" s="3">
        <f t="shared" si="10"/>
        <v>0</v>
      </c>
      <c r="K12">
        <f t="shared" si="11"/>
        <v>0</v>
      </c>
      <c r="L12" s="3">
        <f t="shared" si="12"/>
        <v>0</v>
      </c>
      <c r="M12" s="3">
        <f t="shared" si="13"/>
        <v>0</v>
      </c>
      <c r="N12" s="3">
        <f t="shared" si="14"/>
        <v>0</v>
      </c>
      <c r="O12">
        <f t="shared" si="15"/>
        <v>0</v>
      </c>
      <c r="P12" s="3">
        <f t="shared" si="16"/>
        <v>0</v>
      </c>
      <c r="Q12" s="3">
        <f t="shared" si="17"/>
        <v>0</v>
      </c>
      <c r="R12" s="3">
        <f t="shared" si="18"/>
        <v>0</v>
      </c>
      <c r="S12">
        <f t="shared" si="19"/>
        <v>0</v>
      </c>
      <c r="T12" s="3">
        <f t="shared" si="20"/>
        <v>0</v>
      </c>
      <c r="U12" s="3">
        <f t="shared" si="21"/>
        <v>0</v>
      </c>
      <c r="V12" s="3">
        <f>COUNTIF(IU:PR,"NR")</f>
        <v>0</v>
      </c>
      <c r="W12" s="3">
        <f t="shared" si="0"/>
        <v>0</v>
      </c>
      <c r="X12" s="4">
        <f t="shared" si="1"/>
        <v>0</v>
      </c>
      <c r="Y12" s="4" t="e">
        <f>SUM(AL12,AP12,AT12,AX12,BB12,BF12,BJ12,BN12,BR12,BV12,BZ12,CD12,CH12,CL12,CP12,CT12,CX12,DB12,DF12,DJ12,DN12,DR12,DV12,DZ12,ED12,EH12,EL12,EP12,ET12,EX12,FB12,FF12,FJ12,FN12,FR12,FV12,FZ12,GD12,GH12,GL12,GP12,GT12,GX12,HB12,HF12,HJ12,HN12,HR12,HV12,HZ12,ID12,IH12,IL12,IP12,IT12,IX12,JB12,JF12,JJ12,JN12,JR12,JV12,JZ12,KD12,KH12,KL12,KP12,KT12,KX12,LB12,LF12,LJ12,LN12,LR12,LV12,LZ12,MD12,#REF!,ML12,MP12,MT12,MX12,NB12,NF12,NJ12,NN12,NR12,NV12,NZ12,OD12,OH12,OL12,OP12,OT12,OX12,PB12,PF12,PJ12,PN12,PR12)</f>
        <v>#REF!</v>
      </c>
      <c r="Z12" s="4" t="e">
        <f>SUM(DB12,DF12,DJ12,DN12,DR12,DV12,DZ12,ED12,EH12,EL12,EP12,ET12,EX12,FB12,FF12,FJ12,FN12,FR12,FV12,FZ12,GD12,GH12,GL12,GP12,GT12,GX12,HB12,HF12,HJ12,HN12,HR12,HV12,HZ12,ID12,IH12,IL12,IP12,IT12,IX12,JB12,JF12,JJ12,JN12,JR12,JV12,JZ12,KD12,KH12,KL12,KP12,KT12,KX12,LB12,LF12,LJ12,LN12,LR12,LV12,LZ12,MD12,#REF!,ML12,MP12,MT12,MX12,NB12,NF12,NJ12,NN12,NR12,NV12,NZ12,OD12,OH12,OL12,OP12,OT12,OX12,PB12,PF12,PJ12,PN12,PR12)</f>
        <v>#REF!</v>
      </c>
      <c r="AA12">
        <f t="shared" si="22"/>
        <v>0</v>
      </c>
      <c r="AB12">
        <f t="shared" si="23"/>
        <v>0</v>
      </c>
      <c r="AC12">
        <f t="shared" si="24"/>
        <v>0</v>
      </c>
      <c r="AD12">
        <f t="shared" si="25"/>
        <v>0</v>
      </c>
      <c r="AE12">
        <f t="shared" si="26"/>
        <v>0</v>
      </c>
      <c r="AF12">
        <f t="shared" si="27"/>
        <v>0</v>
      </c>
      <c r="AG12">
        <f t="shared" si="2"/>
        <v>0</v>
      </c>
      <c r="AH12" t="e">
        <f>SUM(IX12,JB12,JF12,JJ12,JN12,JR12,JV12,JZ12,KD12,KH12,KL12,KP12,KT12,KX12,LB12,LF12,LJ12,LN12,LR12,LV12,LZ12,MD12,#REF!,ML12,MP12,MT12,MX12,NB12,NF12,NJ12,NN12,NR12,NV12,NZ12,OD12,OH12,OL12,OP12,OT12,OX12,PB12,PF12,PJ12,PN12,PR12)</f>
        <v>#REF!</v>
      </c>
      <c r="AI12">
        <v>45</v>
      </c>
      <c r="AJ12" t="s">
        <v>145</v>
      </c>
      <c r="PS12" s="3">
        <f t="shared" si="28"/>
        <v>0</v>
      </c>
      <c r="PT12" s="3">
        <f t="shared" si="29"/>
        <v>0</v>
      </c>
      <c r="PU12" s="3">
        <f t="shared" si="30"/>
        <v>0</v>
      </c>
      <c r="PV12">
        <f>COUNTIF(IU:PR,"HG")</f>
        <v>0</v>
      </c>
      <c r="PW12">
        <f t="shared" si="31"/>
        <v>1</v>
      </c>
    </row>
    <row r="13" spans="1:439" x14ac:dyDescent="0.2">
      <c r="A13" t="s">
        <v>127</v>
      </c>
      <c r="B13">
        <f t="shared" si="32"/>
        <v>90</v>
      </c>
      <c r="C13">
        <f t="shared" si="3"/>
        <v>0</v>
      </c>
      <c r="D13">
        <f t="shared" si="4"/>
        <v>0</v>
      </c>
      <c r="E13">
        <f t="shared" si="5"/>
        <v>0</v>
      </c>
      <c r="F13">
        <f t="shared" si="6"/>
        <v>90</v>
      </c>
      <c r="G13">
        <f t="shared" si="7"/>
        <v>2</v>
      </c>
      <c r="H13" s="3">
        <f t="shared" si="8"/>
        <v>0</v>
      </c>
      <c r="I13" s="3">
        <f t="shared" si="9"/>
        <v>2</v>
      </c>
      <c r="J13" s="3">
        <f t="shared" si="10"/>
        <v>0</v>
      </c>
      <c r="K13">
        <f t="shared" si="11"/>
        <v>0</v>
      </c>
      <c r="L13" s="3">
        <f t="shared" si="12"/>
        <v>0</v>
      </c>
      <c r="M13" s="3">
        <f t="shared" si="13"/>
        <v>0</v>
      </c>
      <c r="N13" s="3">
        <f t="shared" si="14"/>
        <v>0</v>
      </c>
      <c r="O13">
        <f t="shared" si="15"/>
        <v>0</v>
      </c>
      <c r="P13" s="3">
        <f t="shared" si="16"/>
        <v>0</v>
      </c>
      <c r="Q13" s="3">
        <f t="shared" si="17"/>
        <v>0</v>
      </c>
      <c r="R13" s="3">
        <f t="shared" si="18"/>
        <v>0</v>
      </c>
      <c r="S13">
        <f t="shared" si="19"/>
        <v>0</v>
      </c>
      <c r="T13" s="3">
        <f t="shared" si="20"/>
        <v>0</v>
      </c>
      <c r="U13" s="3">
        <f t="shared" si="21"/>
        <v>0</v>
      </c>
      <c r="V13" s="3">
        <f>COUNTIF(IU:PR,"NR")</f>
        <v>0</v>
      </c>
      <c r="W13" s="3">
        <f t="shared" si="0"/>
        <v>0</v>
      </c>
      <c r="X13" s="4">
        <f t="shared" si="1"/>
        <v>0</v>
      </c>
      <c r="Y13" s="4" t="e">
        <f>SUM(AL13,AP13,AT13,AX13,BB13,BF13,BJ13,BN13,BR13,BV13,BZ13,CD13,CH13,CL13,CP13,CT13,CX13,DB13,DF13,DJ13,DN13,DR13,DV13,DZ13,ED13,EH13,EL13,EP13,ET13,EX13,FB13,FF13,FJ13,FN13,FR13,FV13,FZ13,GD13,GH13,GL13,GP13,GT13,GX13,HB13,HF13,HJ13,HN13,HR13,HV13,HZ13,ID13,IH13,IL13,IP13,IT13,IX13,JB13,JF13,JJ13,JN13,JR13,JV13,JZ13,KD13,KH13,KL13,KP13,KT13,KX13,LB13,LF13,LJ13,LN13,LR13,LV13,LZ13,MD13,#REF!,ML13,MP13,MT13,MX13,NB13,NF13,NJ13,NN13,NR13,NV13,NZ13,OD13,OH13,OL13,OP13,OT13,OX13,PB13,PF13,PJ13,PN13,PR13)</f>
        <v>#REF!</v>
      </c>
      <c r="Z13" s="4" t="e">
        <f>SUM(DB13,DF13,DJ13,DN13,DR13,DV13,DZ13,ED13,EH13,EL13,EP13,ET13,EX13,FB13,FF13,FJ13,FN13,FR13,FV13,FZ13,GD13,GH13,GL13,GP13,GT13,GX13,HB13,HF13,HJ13,HN13,HR13,HV13,HZ13,ID13,IH13,IL13,IP13,IT13,IX13,JB13,JF13,JJ13,JN13,JR13,JV13,JZ13,KD13,KH13,KL13,KP13,KT13,KX13,LB13,LF13,LJ13,LN13,LR13,LV13,LZ13,MD13,#REF!,ML13,MP13,MT13,MX13,NB13,NF13,NJ13,NN13,NR13,NV13,NZ13,OD13,OH13,OL13,OP13,OT13,OX13,PB13,PF13,PJ13,PN13,PR13)</f>
        <v>#REF!</v>
      </c>
      <c r="AA13">
        <f t="shared" si="22"/>
        <v>0</v>
      </c>
      <c r="AB13">
        <f t="shared" si="23"/>
        <v>0</v>
      </c>
      <c r="AC13">
        <f t="shared" si="24"/>
        <v>0</v>
      </c>
      <c r="AD13">
        <f t="shared" si="25"/>
        <v>0</v>
      </c>
      <c r="AE13">
        <f t="shared" si="26"/>
        <v>0</v>
      </c>
      <c r="AF13">
        <f t="shared" si="27"/>
        <v>0</v>
      </c>
      <c r="AG13">
        <f t="shared" si="2"/>
        <v>0</v>
      </c>
      <c r="AH13" t="e">
        <f>SUM(IX13,JB13,JF13,JJ13,JN13,JR13,JV13,JZ13,KD13,KH13,KL13,KP13,KT13,KX13,LB13,LF13,LJ13,LN13,LR13,LV13,LZ13,MD13,#REF!,ML13,MP13,MT13,MX13,NB13,NF13,NJ13,NN13,NR13,NV13,NZ13,OD13,OH13,OL13,OP13,OT13,OX13,PB13,PF13,PJ13,PN13,PR13)</f>
        <v>#REF!</v>
      </c>
      <c r="AI13">
        <v>45</v>
      </c>
      <c r="AJ13" t="s">
        <v>146</v>
      </c>
      <c r="AM13">
        <v>45</v>
      </c>
      <c r="AN13" t="s">
        <v>146</v>
      </c>
      <c r="PS13" s="3">
        <f t="shared" si="28"/>
        <v>0</v>
      </c>
      <c r="PT13" s="3">
        <f t="shared" si="29"/>
        <v>0</v>
      </c>
      <c r="PU13" s="3">
        <f t="shared" si="30"/>
        <v>0</v>
      </c>
      <c r="PV13">
        <f>COUNTIF(IU:PR,"HG")</f>
        <v>0</v>
      </c>
      <c r="PW13">
        <f t="shared" si="31"/>
        <v>2</v>
      </c>
    </row>
    <row r="14" spans="1:439" x14ac:dyDescent="0.2">
      <c r="A14" t="s">
        <v>115</v>
      </c>
      <c r="B14">
        <f t="shared" si="32"/>
        <v>150</v>
      </c>
      <c r="C14">
        <f t="shared" si="3"/>
        <v>0</v>
      </c>
      <c r="D14">
        <f t="shared" si="4"/>
        <v>0</v>
      </c>
      <c r="E14">
        <f t="shared" si="5"/>
        <v>0</v>
      </c>
      <c r="F14">
        <f t="shared" si="6"/>
        <v>150</v>
      </c>
      <c r="G14">
        <f t="shared" si="7"/>
        <v>3</v>
      </c>
      <c r="H14" s="3">
        <f t="shared" si="8"/>
        <v>2</v>
      </c>
      <c r="I14" s="3">
        <f t="shared" si="9"/>
        <v>1</v>
      </c>
      <c r="J14" s="3">
        <f t="shared" si="10"/>
        <v>0</v>
      </c>
      <c r="K14">
        <f t="shared" si="11"/>
        <v>0</v>
      </c>
      <c r="L14" s="3">
        <f t="shared" si="12"/>
        <v>0</v>
      </c>
      <c r="M14" s="3">
        <f t="shared" si="13"/>
        <v>0</v>
      </c>
      <c r="N14" s="3">
        <f t="shared" si="14"/>
        <v>0</v>
      </c>
      <c r="O14">
        <f t="shared" si="15"/>
        <v>0</v>
      </c>
      <c r="P14" s="3">
        <f t="shared" si="16"/>
        <v>0</v>
      </c>
      <c r="Q14" s="3">
        <f t="shared" si="17"/>
        <v>0</v>
      </c>
      <c r="R14" s="3">
        <f t="shared" si="18"/>
        <v>0</v>
      </c>
      <c r="S14">
        <f t="shared" si="19"/>
        <v>0</v>
      </c>
      <c r="T14" s="3">
        <f t="shared" si="20"/>
        <v>0</v>
      </c>
      <c r="U14" s="3">
        <f t="shared" si="21"/>
        <v>0</v>
      </c>
      <c r="V14" s="3">
        <f>COUNTIF(IU:PR,"NR")</f>
        <v>0</v>
      </c>
      <c r="W14" s="3">
        <f t="shared" si="0"/>
        <v>0</v>
      </c>
      <c r="X14" s="4">
        <f t="shared" si="1"/>
        <v>0</v>
      </c>
      <c r="Y14" s="4" t="e">
        <f>SUM(AL14,AP14,AT14,AX14,BB14,BF14,BJ14,BN14,BR14,BV14,BZ14,CD14,CH14,CL14,CP14,CT14,CX14,DB14,DF14,DJ14,DN14,DR14,DV14,DZ14,ED14,EH14,EL14,EP14,ET14,EX14,FB14,FF14,FJ14,FN14,FR14,FV14,FZ14,GD14,GH14,GL14,GP14,GT14,GX14,HB14,HF14,HJ14,HN14,HR14,HV14,HZ14,ID14,IH14,IL14,IP14,IT14,IX14,JB14,JF14,JJ14,JN14,JR14,JV14,JZ14,KD14,KH14,KL14,KP14,KT14,KX14,LB14,LF14,LJ14,LN14,LR14,LV14,LZ14,MD14,#REF!,ML14,MP14,MT14,MX14,NB14,NF14,NJ14,NN14,NR14,NV14,NZ14,OD14,OH14,OL14,OP14,OT14,OX14,PB14,PF14,PJ14,PN14,PR14)</f>
        <v>#REF!</v>
      </c>
      <c r="Z14" s="4" t="e">
        <f>SUM(DB14,DF14,DJ14,DN14,DR14,DV14,DZ14,ED14,EH14,EL14,EP14,ET14,EX14,FB14,FF14,FJ14,FN14,FR14,FV14,FZ14,GD14,GH14,GL14,GP14,GT14,GX14,HB14,HF14,HJ14,HN14,HR14,HV14,HZ14,ID14,IH14,IL14,IP14,IT14,IX14,JB14,JF14,JJ14,JN14,JR14,JV14,JZ14,KD14,KH14,KL14,KP14,KT14,KX14,LB14,LF14,LJ14,LN14,LR14,LV14,LZ14,MD14,#REF!,ML14,MP14,MT14,MX14,NB14,NF14,NJ14,NN14,NR14,NV14,NZ14,OD14,OH14,OL14,OP14,OT14,OX14,PB14,PF14,PJ14,PN14,PR14)</f>
        <v>#REF!</v>
      </c>
      <c r="AA14">
        <f t="shared" si="22"/>
        <v>0</v>
      </c>
      <c r="AB14">
        <f t="shared" si="23"/>
        <v>0</v>
      </c>
      <c r="AC14">
        <f t="shared" si="24"/>
        <v>0</v>
      </c>
      <c r="AD14">
        <f t="shared" si="25"/>
        <v>0</v>
      </c>
      <c r="AE14">
        <f t="shared" si="26"/>
        <v>0</v>
      </c>
      <c r="AF14">
        <f t="shared" si="27"/>
        <v>0</v>
      </c>
      <c r="AG14">
        <f t="shared" si="2"/>
        <v>0</v>
      </c>
      <c r="AH14" t="e">
        <f>SUM(IX14,JB14,JF14,JJ14,JN14,JR14,JV14,JZ14,KD14,KH14,KL14,KP14,KT14,KX14,LB14,LF14,LJ14,LN14,LR14,LV14,LZ14,MD14,#REF!,ML14,MP14,MT14,MX14,NB14,NF14,NJ14,NN14,NR14,NV14,NZ14,OD14,OH14,OL14,OP14,OT14,OX14,PB14,PF14,PJ14,PN14,PR14)</f>
        <v>#REF!</v>
      </c>
      <c r="AI14">
        <v>45</v>
      </c>
      <c r="AJ14" t="s">
        <v>146</v>
      </c>
      <c r="AM14">
        <v>45</v>
      </c>
      <c r="AN14" t="s">
        <v>145</v>
      </c>
      <c r="AQ14">
        <v>60</v>
      </c>
      <c r="AR14" t="s">
        <v>145</v>
      </c>
      <c r="PS14" s="3">
        <f t="shared" si="28"/>
        <v>0</v>
      </c>
      <c r="PT14" s="3">
        <f t="shared" si="29"/>
        <v>0</v>
      </c>
      <c r="PU14" s="3">
        <f t="shared" si="30"/>
        <v>0</v>
      </c>
      <c r="PV14">
        <f>COUNTIF(IU:PR,"HG")</f>
        <v>0</v>
      </c>
      <c r="PW14">
        <f t="shared" si="31"/>
        <v>3</v>
      </c>
    </row>
    <row r="15" spans="1:439" x14ac:dyDescent="0.2">
      <c r="A15" t="s">
        <v>133</v>
      </c>
      <c r="B15">
        <f t="shared" si="32"/>
        <v>120</v>
      </c>
      <c r="C15">
        <f t="shared" si="3"/>
        <v>0</v>
      </c>
      <c r="D15">
        <f t="shared" si="4"/>
        <v>0</v>
      </c>
      <c r="E15">
        <f t="shared" si="5"/>
        <v>0</v>
      </c>
      <c r="F15">
        <f t="shared" si="6"/>
        <v>120</v>
      </c>
      <c r="G15">
        <f t="shared" si="7"/>
        <v>3</v>
      </c>
      <c r="H15" s="3">
        <f t="shared" si="8"/>
        <v>1</v>
      </c>
      <c r="I15" s="3">
        <f t="shared" si="9"/>
        <v>2</v>
      </c>
      <c r="J15" s="3">
        <f t="shared" si="10"/>
        <v>0</v>
      </c>
      <c r="K15">
        <f t="shared" si="11"/>
        <v>0</v>
      </c>
      <c r="L15" s="3">
        <f t="shared" si="12"/>
        <v>0</v>
      </c>
      <c r="M15" s="3">
        <f t="shared" si="13"/>
        <v>0</v>
      </c>
      <c r="N15" s="3">
        <f t="shared" si="14"/>
        <v>0</v>
      </c>
      <c r="O15">
        <f t="shared" si="15"/>
        <v>0</v>
      </c>
      <c r="P15" s="3">
        <f t="shared" si="16"/>
        <v>0</v>
      </c>
      <c r="Q15" s="3">
        <f t="shared" si="17"/>
        <v>0</v>
      </c>
      <c r="R15" s="3">
        <f t="shared" si="18"/>
        <v>0</v>
      </c>
      <c r="S15">
        <f t="shared" si="19"/>
        <v>0</v>
      </c>
      <c r="T15" s="3">
        <f t="shared" si="20"/>
        <v>0</v>
      </c>
      <c r="U15" s="3">
        <f t="shared" si="21"/>
        <v>0</v>
      </c>
      <c r="V15" s="3">
        <f>COUNTIF(IU:PR,"NR")</f>
        <v>0</v>
      </c>
      <c r="W15" s="3">
        <f t="shared" si="0"/>
        <v>0</v>
      </c>
      <c r="X15" s="4">
        <f t="shared" si="1"/>
        <v>0</v>
      </c>
      <c r="Y15" s="4" t="e">
        <f>SUM(AL15,AP15,AT15,AX15,BB15,BF15,BJ15,BN15,BR15,BV15,BZ15,CD15,CH15,CL15,CP15,CT15,CX15,DB15,DF15,DJ15,DN15,DR15,DV15,DZ15,ED15,EH15,EL15,EP15,ET15,EX15,FB15,FF15,FJ15,FN15,FR15,FV15,FZ15,GD15,GH15,GL15,GP15,GT15,GX15,HB15,HF15,HJ15,HN15,HR15,HV15,HZ15,ID15,IH15,IL15,IP15,IT15,IX15,JB15,JF15,JJ15,JN15,JR15,JV15,JZ15,KD15,KH15,KL15,KP15,KT15,KX15,LB15,LF15,LJ15,LN15,LR15,LV15,LZ15,MD15,#REF!,ML15,MP15,MT15,MX15,NB15,NF15,NJ15,NN15,NR15,NV15,NZ15,OD15,OH15,OL15,OP15,OT15,OX15,PB15,PF15,PJ15,PN15,PR15)</f>
        <v>#REF!</v>
      </c>
      <c r="Z15" s="4" t="e">
        <f>SUM(DB15,DF15,DJ15,DN15,DR15,DV15,DZ15,ED15,EH15,EL15,EP15,ET15,EX15,FB15,FF15,FJ15,FN15,FR15,FV15,FZ15,GD15,GH15,GL15,GP15,GT15,GX15,HB15,HF15,HJ15,HN15,HR15,HV15,HZ15,ID15,IH15,IL15,IP15,IT15,IX15,JB15,JF15,JJ15,JN15,JR15,JV15,JZ15,KD15,KH15,KL15,KP15,KT15,KX15,LB15,LF15,LJ15,LN15,LR15,LV15,LZ15,MD15,#REF!,ML15,MP15,MT15,MX15,NB15,NF15,NJ15,NN15,NR15,NV15,NZ15,OD15,OH15,OL15,OP15,OT15,OX15,PB15,PF15,PJ15,PN15,PR15)</f>
        <v>#REF!</v>
      </c>
      <c r="AA15">
        <f t="shared" si="22"/>
        <v>0</v>
      </c>
      <c r="AB15">
        <f t="shared" si="23"/>
        <v>0</v>
      </c>
      <c r="AC15">
        <f t="shared" si="24"/>
        <v>0</v>
      </c>
      <c r="AD15">
        <f t="shared" si="25"/>
        <v>0</v>
      </c>
      <c r="AE15">
        <f t="shared" si="26"/>
        <v>0</v>
      </c>
      <c r="AF15">
        <f t="shared" si="27"/>
        <v>0</v>
      </c>
      <c r="AG15">
        <f t="shared" si="2"/>
        <v>0</v>
      </c>
      <c r="AH15" t="e">
        <f>SUM(IX15,JB15,JF15,JJ15,JN15,JR15,JV15,JZ15,KD15,KH15,KL15,KP15,KT15,KX15,LB15,LF15,LJ15,LN15,LR15,LV15,LZ15,MD15,#REF!,ML15,MP15,MT15,MX15,NB15,NF15,NJ15,NN15,NR15,NV15,NZ15,OD15,OH15,OL15,OP15,OT15,OX15,PB15,PF15,PJ15,PN15,PR15)</f>
        <v>#REF!</v>
      </c>
      <c r="AI15">
        <v>45</v>
      </c>
      <c r="AJ15" t="s">
        <v>145</v>
      </c>
      <c r="AM15">
        <v>45</v>
      </c>
      <c r="AN15" t="s">
        <v>146</v>
      </c>
      <c r="AQ15">
        <v>30</v>
      </c>
      <c r="AR15" t="s">
        <v>146</v>
      </c>
      <c r="PS15" s="3">
        <f t="shared" si="28"/>
        <v>0</v>
      </c>
      <c r="PT15" s="3">
        <f t="shared" si="29"/>
        <v>0</v>
      </c>
      <c r="PU15" s="3">
        <f t="shared" si="30"/>
        <v>0</v>
      </c>
      <c r="PV15">
        <f>COUNTIF(IU:PR,"HG")</f>
        <v>0</v>
      </c>
      <c r="PW15">
        <f t="shared" si="31"/>
        <v>3</v>
      </c>
    </row>
    <row r="16" spans="1:439" x14ac:dyDescent="0.2">
      <c r="A16" t="s">
        <v>134</v>
      </c>
      <c r="B16">
        <f t="shared" si="32"/>
        <v>67</v>
      </c>
      <c r="C16">
        <f t="shared" si="3"/>
        <v>0</v>
      </c>
      <c r="D16">
        <f t="shared" si="4"/>
        <v>0</v>
      </c>
      <c r="E16">
        <f t="shared" si="5"/>
        <v>0</v>
      </c>
      <c r="F16">
        <f t="shared" si="6"/>
        <v>67</v>
      </c>
      <c r="G16">
        <f t="shared" si="7"/>
        <v>2</v>
      </c>
      <c r="H16" s="3">
        <f t="shared" si="8"/>
        <v>0</v>
      </c>
      <c r="I16" s="3">
        <f t="shared" si="9"/>
        <v>2</v>
      </c>
      <c r="J16" s="3">
        <f t="shared" si="10"/>
        <v>0</v>
      </c>
      <c r="K16">
        <f t="shared" si="11"/>
        <v>0</v>
      </c>
      <c r="L16" s="3">
        <f t="shared" si="12"/>
        <v>0</v>
      </c>
      <c r="M16" s="3">
        <f t="shared" si="13"/>
        <v>0</v>
      </c>
      <c r="N16" s="3">
        <f t="shared" si="14"/>
        <v>0</v>
      </c>
      <c r="O16">
        <f t="shared" si="15"/>
        <v>0</v>
      </c>
      <c r="P16" s="3">
        <f t="shared" si="16"/>
        <v>0</v>
      </c>
      <c r="Q16" s="3">
        <f t="shared" si="17"/>
        <v>0</v>
      </c>
      <c r="R16" s="3">
        <f t="shared" si="18"/>
        <v>0</v>
      </c>
      <c r="S16">
        <f t="shared" si="19"/>
        <v>0</v>
      </c>
      <c r="T16" s="3">
        <f t="shared" si="20"/>
        <v>0</v>
      </c>
      <c r="U16" s="3">
        <f t="shared" si="21"/>
        <v>0</v>
      </c>
      <c r="V16" s="3">
        <f>COUNTIF(IU:PR,"NR")</f>
        <v>0</v>
      </c>
      <c r="W16" s="3">
        <f t="shared" si="0"/>
        <v>1</v>
      </c>
      <c r="X16" s="4">
        <f t="shared" si="1"/>
        <v>0</v>
      </c>
      <c r="Y16" s="4" t="e">
        <f>SUM(AL16,AP16,AT16,AX16,BB16,BF16,BJ16,BN16,BR16,BV16,BZ16,CD16,CH16,CL16,CP16,CT16,CX16,DB16,DF16,DJ16,DN16,DR16,DV16,DZ16,ED16,EH16,EL16,EP16,ET16,EX16,FB16,FF16,FJ16,FN16,FR16,FV16,FZ16,GD16,GH16,GL16,GP16,GT16,GX16,HB16,HF16,HJ16,HN16,HR16,HV16,HZ16,ID16,IH16,IL16,IP16,IT16,IX16,JB16,JF16,JJ16,JN16,JR16,JV16,JZ16,KD16,KH16,KL16,KP16,KT16,KX16,LB16,LF16,LJ16,LN16,LR16,LV16,LZ16,MD16,#REF!,ML16,MP16,MT16,MX16,NB16,NF16,NJ16,NN16,NR16,NV16,NZ16,OD16,OH16,OL16,OP16,OT16,OX16,PB16,PF16,PJ16,PN16,PR16)</f>
        <v>#REF!</v>
      </c>
      <c r="Z16" s="4" t="e">
        <f>SUM(DB16,DF16,DJ16,DN16,DR16,DV16,DZ16,ED16,EH16,EL16,EP16,ET16,EX16,FB16,FF16,FJ16,FN16,FR16,FV16,FZ16,GD16,GH16,GL16,GP16,GT16,GX16,HB16,HF16,HJ16,HN16,HR16,HV16,HZ16,ID16,IH16,IL16,IP16,IT16,IX16,JB16,JF16,JJ16,JN16,JR16,JV16,JZ16,KD16,KH16,KL16,KP16,KT16,KX16,LB16,LF16,LJ16,LN16,LR16,LV16,LZ16,MD16,#REF!,ML16,MP16,MT16,MX16,NB16,NF16,NJ16,NN16,NR16,NV16,NZ16,OD16,OH16,OL16,OP16,OT16,OX16,PB16,PF16,PJ16,PN16,PR16)</f>
        <v>#REF!</v>
      </c>
      <c r="AA16">
        <f t="shared" si="22"/>
        <v>0</v>
      </c>
      <c r="AB16">
        <f t="shared" si="23"/>
        <v>0</v>
      </c>
      <c r="AC16">
        <f t="shared" si="24"/>
        <v>0</v>
      </c>
      <c r="AD16">
        <f t="shared" si="25"/>
        <v>0</v>
      </c>
      <c r="AE16">
        <f t="shared" si="26"/>
        <v>1</v>
      </c>
      <c r="AF16">
        <f t="shared" si="27"/>
        <v>0</v>
      </c>
      <c r="AG16">
        <f t="shared" si="2"/>
        <v>0</v>
      </c>
      <c r="AH16" t="e">
        <f>SUM(IX16,JB16,JF16,JJ16,JN16,JR16,JV16,JZ16,KD16,KH16,KL16,KP16,KT16,KX16,LB16,LF16,LJ16,LN16,LR16,LV16,LZ16,MD16,#REF!,ML16,MP16,MT16,MX16,NB16,NF16,NJ16,NN16,NR16,NV16,NZ16,OD16,OH16,OL16,OP16,OT16,OX16,PB16,PF16,PJ16,PN16,PR16)</f>
        <v>#REF!</v>
      </c>
      <c r="AI16">
        <v>45</v>
      </c>
      <c r="AJ16" t="s">
        <v>146</v>
      </c>
      <c r="AK16">
        <v>1</v>
      </c>
      <c r="AM16">
        <v>22</v>
      </c>
      <c r="AN16" t="s">
        <v>146</v>
      </c>
      <c r="PS16" s="3">
        <f t="shared" si="28"/>
        <v>0</v>
      </c>
      <c r="PT16" s="3">
        <f t="shared" si="29"/>
        <v>0</v>
      </c>
      <c r="PU16" s="3">
        <f t="shared" si="30"/>
        <v>0</v>
      </c>
      <c r="PV16">
        <f>COUNTIF(IU:PR,"HG")</f>
        <v>0</v>
      </c>
      <c r="PW16">
        <f t="shared" si="31"/>
        <v>2</v>
      </c>
    </row>
    <row r="17" spans="1:439" x14ac:dyDescent="0.2">
      <c r="A17" t="s">
        <v>135</v>
      </c>
      <c r="B17">
        <f t="shared" si="32"/>
        <v>120</v>
      </c>
      <c r="C17">
        <f t="shared" si="3"/>
        <v>0</v>
      </c>
      <c r="D17">
        <f t="shared" si="4"/>
        <v>0</v>
      </c>
      <c r="E17">
        <f t="shared" si="5"/>
        <v>0</v>
      </c>
      <c r="F17">
        <f t="shared" si="6"/>
        <v>120</v>
      </c>
      <c r="G17">
        <f t="shared" si="7"/>
        <v>3</v>
      </c>
      <c r="H17" s="3">
        <f t="shared" si="8"/>
        <v>2</v>
      </c>
      <c r="I17" s="3">
        <f t="shared" si="9"/>
        <v>1</v>
      </c>
      <c r="J17" s="3">
        <f t="shared" si="10"/>
        <v>0</v>
      </c>
      <c r="K17">
        <f t="shared" si="11"/>
        <v>0</v>
      </c>
      <c r="L17" s="3">
        <f t="shared" si="12"/>
        <v>0</v>
      </c>
      <c r="M17" s="3">
        <f t="shared" si="13"/>
        <v>0</v>
      </c>
      <c r="N17" s="3">
        <f t="shared" si="14"/>
        <v>0</v>
      </c>
      <c r="O17">
        <f t="shared" si="15"/>
        <v>0</v>
      </c>
      <c r="P17" s="3">
        <f t="shared" si="16"/>
        <v>0</v>
      </c>
      <c r="Q17" s="3">
        <f t="shared" si="17"/>
        <v>0</v>
      </c>
      <c r="R17" s="3">
        <f t="shared" si="18"/>
        <v>0</v>
      </c>
      <c r="S17">
        <f t="shared" si="19"/>
        <v>0</v>
      </c>
      <c r="T17" s="3">
        <f t="shared" si="20"/>
        <v>0</v>
      </c>
      <c r="U17" s="3">
        <f t="shared" si="21"/>
        <v>0</v>
      </c>
      <c r="V17" s="3">
        <f>COUNTIF(IU:PR,"NR")</f>
        <v>0</v>
      </c>
      <c r="W17" s="3">
        <f t="shared" si="0"/>
        <v>0</v>
      </c>
      <c r="X17" s="4">
        <f t="shared" si="1"/>
        <v>0</v>
      </c>
      <c r="Y17" s="4" t="e">
        <f>SUM(AL17,AP17,AT17,AX17,BB17,BF17,BJ17,BN17,BR17,BV17,BZ17,CD17,CH17,CL17,CP17,CT17,CX17,DB17,DF17,DJ17,DN17,DR17,DV17,DZ17,ED17,EH17,EL17,EP17,ET17,EX17,FB17,FF17,FJ17,FN17,FR17,FV17,FZ17,GD17,GH17,GL17,GP17,GT17,GX17,HB17,HF17,HJ17,HN17,HR17,HV17,HZ17,ID17,IH17,IL17,IP17,IT17,IX17,JB17,JF17,JJ17,JN17,JR17,JV17,JZ17,KD17,KH17,KL17,KP17,KT17,KX17,LB17,LF17,LJ17,LN17,LR17,LV17,LZ17,MD17,#REF!,ML17,MP17,MT17,MX17,NB17,NF17,NJ17,NN17,NR17,NV17,NZ17,OD17,OH17,OL17,OP17,OT17,OX17,PB17,PF17,PJ17,PN17,PR17)</f>
        <v>#REF!</v>
      </c>
      <c r="Z17" s="4" t="e">
        <f>SUM(DB17,DF17,DJ17,DN17,DR17,DV17,DZ17,ED17,EH17,EL17,EP17,ET17,EX17,FB17,FF17,FJ17,FN17,FR17,FV17,FZ17,GD17,GH17,GL17,GP17,GT17,GX17,HB17,HF17,HJ17,HN17,HR17,HV17,HZ17,ID17,IH17,IL17,IP17,IT17,IX17,JB17,JF17,JJ17,JN17,JR17,JV17,JZ17,KD17,KH17,KL17,KP17,KT17,KX17,LB17,LF17,LJ17,LN17,LR17,LV17,LZ17,MD17,#REF!,ML17,MP17,MT17,MX17,NB17,NF17,NJ17,NN17,NR17,NV17,NZ17,OD17,OH17,OL17,OP17,OT17,OX17,PB17,PF17,PJ17,PN17,PR17)</f>
        <v>#REF!</v>
      </c>
      <c r="AA17">
        <f t="shared" si="22"/>
        <v>0</v>
      </c>
      <c r="AB17">
        <f t="shared" si="23"/>
        <v>0</v>
      </c>
      <c r="AC17">
        <f t="shared" si="24"/>
        <v>0</v>
      </c>
      <c r="AD17">
        <f t="shared" si="25"/>
        <v>0</v>
      </c>
      <c r="AE17">
        <f t="shared" si="26"/>
        <v>0</v>
      </c>
      <c r="AF17">
        <f t="shared" si="27"/>
        <v>0</v>
      </c>
      <c r="AG17">
        <f t="shared" si="2"/>
        <v>0</v>
      </c>
      <c r="AH17" t="e">
        <f>SUM(IX17,JB17,JF17,JJ17,JN17,JR17,JV17,JZ17,KD17,KH17,KL17,KP17,KT17,KX17,LB17,LF17,LJ17,LN17,LR17,LV17,LZ17,MD17,#REF!,ML17,MP17,MT17,MX17,NB17,NF17,NJ17,NN17,NR17,NV17,NZ17,OD17,OH17,OL17,OP17,OT17,OX17,PB17,PF17,PJ17,PN17,PR17)</f>
        <v>#REF!</v>
      </c>
      <c r="AI17">
        <v>45</v>
      </c>
      <c r="AJ17" t="s">
        <v>145</v>
      </c>
      <c r="AM17">
        <v>45</v>
      </c>
      <c r="AN17" t="s">
        <v>145</v>
      </c>
      <c r="AQ17">
        <v>30</v>
      </c>
      <c r="AR17" t="s">
        <v>146</v>
      </c>
      <c r="PS17" s="3">
        <f t="shared" si="28"/>
        <v>0</v>
      </c>
      <c r="PT17" s="3">
        <f t="shared" si="29"/>
        <v>0</v>
      </c>
      <c r="PU17" s="3">
        <f t="shared" si="30"/>
        <v>0</v>
      </c>
      <c r="PV17">
        <f>COUNTIF(IU:PR,"HG")</f>
        <v>0</v>
      </c>
      <c r="PW17">
        <f t="shared" si="31"/>
        <v>3</v>
      </c>
    </row>
    <row r="18" spans="1:439" x14ac:dyDescent="0.2">
      <c r="A18" t="s">
        <v>119</v>
      </c>
      <c r="B18">
        <f t="shared" si="32"/>
        <v>150</v>
      </c>
      <c r="C18">
        <f t="shared" si="3"/>
        <v>0</v>
      </c>
      <c r="D18">
        <f t="shared" si="4"/>
        <v>0</v>
      </c>
      <c r="E18">
        <f t="shared" si="5"/>
        <v>0</v>
      </c>
      <c r="F18">
        <f t="shared" si="6"/>
        <v>150</v>
      </c>
      <c r="G18">
        <f t="shared" si="7"/>
        <v>3</v>
      </c>
      <c r="H18" s="3">
        <f t="shared" si="8"/>
        <v>2</v>
      </c>
      <c r="I18" s="3">
        <f t="shared" si="9"/>
        <v>1</v>
      </c>
      <c r="J18" s="3">
        <f t="shared" si="10"/>
        <v>0</v>
      </c>
      <c r="K18">
        <f t="shared" si="11"/>
        <v>0</v>
      </c>
      <c r="L18" s="3">
        <f t="shared" si="12"/>
        <v>0</v>
      </c>
      <c r="M18" s="3">
        <f t="shared" si="13"/>
        <v>0</v>
      </c>
      <c r="N18" s="3">
        <f t="shared" si="14"/>
        <v>0</v>
      </c>
      <c r="O18">
        <f t="shared" si="15"/>
        <v>0</v>
      </c>
      <c r="P18" s="3">
        <f t="shared" si="16"/>
        <v>0</v>
      </c>
      <c r="Q18" s="3">
        <f t="shared" si="17"/>
        <v>0</v>
      </c>
      <c r="R18" s="3">
        <f t="shared" si="18"/>
        <v>0</v>
      </c>
      <c r="S18">
        <f t="shared" si="19"/>
        <v>0</v>
      </c>
      <c r="T18" s="3">
        <f t="shared" si="20"/>
        <v>0</v>
      </c>
      <c r="U18" s="3">
        <f t="shared" si="21"/>
        <v>0</v>
      </c>
      <c r="V18" s="3">
        <f>COUNTIF(IU:PR,"NR")</f>
        <v>0</v>
      </c>
      <c r="W18" s="3">
        <f t="shared" si="0"/>
        <v>1</v>
      </c>
      <c r="X18" s="4">
        <f t="shared" si="1"/>
        <v>0</v>
      </c>
      <c r="Y18" s="4" t="e">
        <f>SUM(AL18,AP18,AT18,AX18,BB18,BF18,BJ18,BN18,BR18,BV18,BZ18,CD18,CH18,CL18,CP18,CT18,CX18,DB18,DF18,DJ18,DN18,DR18,DV18,DZ18,ED18,EH18,EL18,EP18,ET18,EX18,FB18,FF18,FJ18,FN18,FR18,FV18,FZ18,GD18,GH18,GL18,GP18,GT18,GX18,HB18,HF18,HJ18,HN18,HR18,HV18,HZ18,ID18,IH18,IL18,IP18,IT18,IX18,JB18,JF18,JJ18,JN18,JR18,JV18,JZ18,KD18,KH18,KL18,KP18,KT18,KX18,LB18,LF18,LJ18,LN18,LR18,LV18,LZ18,MD18,#REF!,ML18,MP18,MT18,MX18,NB18,NF18,NJ18,NN18,NR18,NV18,NZ18,OD18,OH18,OL18,OP18,OT18,OX18,PB18,PF18,PJ18,PN18,PR18)</f>
        <v>#REF!</v>
      </c>
      <c r="Z18" s="4" t="e">
        <f>SUM(DB18,DF18,DJ18,DN18,DR18,DV18,DZ18,ED18,EH18,EL18,EP18,ET18,EX18,FB18,FF18,FJ18,FN18,FR18,FV18,FZ18,GD18,GH18,GL18,GP18,GT18,GX18,HB18,HF18,HJ18,HN18,HR18,HV18,HZ18,ID18,IH18,IL18,IP18,IT18,IX18,JB18,JF18,JJ18,JN18,JR18,JV18,JZ18,KD18,KH18,KL18,KP18,KT18,KX18,LB18,LF18,LJ18,LN18,LR18,LV18,LZ18,MD18,#REF!,ML18,MP18,MT18,MX18,NB18,NF18,NJ18,NN18,NR18,NV18,NZ18,OD18,OH18,OL18,OP18,OT18,OX18,PB18,PF18,PJ18,PN18,PR18)</f>
        <v>#REF!</v>
      </c>
      <c r="AA18">
        <f t="shared" si="22"/>
        <v>0</v>
      </c>
      <c r="AB18">
        <f t="shared" si="23"/>
        <v>0</v>
      </c>
      <c r="AC18">
        <f t="shared" si="24"/>
        <v>0</v>
      </c>
      <c r="AD18">
        <f t="shared" si="25"/>
        <v>0</v>
      </c>
      <c r="AE18">
        <f t="shared" si="26"/>
        <v>1</v>
      </c>
      <c r="AF18">
        <f t="shared" si="27"/>
        <v>0</v>
      </c>
      <c r="AG18">
        <f t="shared" si="2"/>
        <v>0</v>
      </c>
      <c r="AH18" t="e">
        <f>SUM(IX18,JB18,JF18,JJ18,JN18,JR18,JV18,JZ18,KD18,KH18,KL18,KP18,KT18,KX18,LB18,LF18,LJ18,LN18,LR18,LV18,LZ18,MD18,#REF!,ML18,MP18,MT18,MX18,NB18,NF18,NJ18,NN18,NR18,NV18,NZ18,OD18,OH18,OL18,OP18,OT18,OX18,PB18,PF18,PJ18,PN18,PR18)</f>
        <v>#REF!</v>
      </c>
      <c r="AI18">
        <v>45</v>
      </c>
      <c r="AJ18" t="s">
        <v>146</v>
      </c>
      <c r="AK18">
        <v>1</v>
      </c>
      <c r="AM18">
        <v>45</v>
      </c>
      <c r="AN18" t="s">
        <v>145</v>
      </c>
      <c r="AQ18">
        <v>60</v>
      </c>
      <c r="AR18" t="s">
        <v>145</v>
      </c>
      <c r="PS18" s="3">
        <f t="shared" si="28"/>
        <v>0</v>
      </c>
      <c r="PT18" s="3">
        <f t="shared" si="29"/>
        <v>0</v>
      </c>
      <c r="PU18" s="3">
        <f t="shared" si="30"/>
        <v>0</v>
      </c>
      <c r="PV18">
        <f>COUNTIF(IU:PR,"HG")</f>
        <v>0</v>
      </c>
      <c r="PW18">
        <f t="shared" si="31"/>
        <v>3</v>
      </c>
    </row>
    <row r="19" spans="1:439" x14ac:dyDescent="0.2">
      <c r="A19" t="s">
        <v>117</v>
      </c>
      <c r="B19">
        <f t="shared" si="32"/>
        <v>150</v>
      </c>
      <c r="C19">
        <f t="shared" si="3"/>
        <v>0</v>
      </c>
      <c r="D19">
        <f t="shared" si="4"/>
        <v>0</v>
      </c>
      <c r="E19">
        <f t="shared" si="5"/>
        <v>0</v>
      </c>
      <c r="F19">
        <f t="shared" si="6"/>
        <v>150</v>
      </c>
      <c r="G19">
        <f t="shared" si="7"/>
        <v>3</v>
      </c>
      <c r="H19" s="3">
        <f t="shared" si="8"/>
        <v>2</v>
      </c>
      <c r="I19" s="3">
        <f t="shared" si="9"/>
        <v>1</v>
      </c>
      <c r="J19" s="3">
        <f t="shared" si="10"/>
        <v>0</v>
      </c>
      <c r="K19">
        <f t="shared" si="11"/>
        <v>0</v>
      </c>
      <c r="L19" s="3">
        <f t="shared" si="12"/>
        <v>0</v>
      </c>
      <c r="M19" s="3">
        <f t="shared" si="13"/>
        <v>0</v>
      </c>
      <c r="N19" s="3">
        <f t="shared" si="14"/>
        <v>0</v>
      </c>
      <c r="O19">
        <f t="shared" si="15"/>
        <v>0</v>
      </c>
      <c r="P19" s="3">
        <f t="shared" si="16"/>
        <v>0</v>
      </c>
      <c r="Q19" s="3">
        <f t="shared" si="17"/>
        <v>0</v>
      </c>
      <c r="R19" s="3">
        <f t="shared" si="18"/>
        <v>0</v>
      </c>
      <c r="S19">
        <f>SUM(T19:U19)</f>
        <v>0</v>
      </c>
      <c r="T19" s="3">
        <f t="shared" si="20"/>
        <v>0</v>
      </c>
      <c r="U19" s="3">
        <f t="shared" si="21"/>
        <v>0</v>
      </c>
      <c r="V19" s="3">
        <f>COUNTIF(IU:PR,"NR")</f>
        <v>0</v>
      </c>
      <c r="W19" s="3">
        <f t="shared" si="0"/>
        <v>0</v>
      </c>
      <c r="X19" s="4">
        <f t="shared" si="1"/>
        <v>0</v>
      </c>
      <c r="Y19" s="4" t="e">
        <f>SUM(AL19,AP19,AT19,AX19,BB19,BF19,BJ19,BN19,BR19,BV19,BZ19,CD19,CH19,CL19,CP19,CT19,CX19,DB19,DF19,DJ19,DN19,DR19,DV19,DZ19,ED19,EH19,EL19,EP19,ET19,EX19,FB19,FF19,FJ19,FN19,FR19,FV19,FZ19,GD19,GH19,GL19,GP19,GT19,GX19,HB19,HF19,HJ19,HN19,HR19,HV19,HZ19,ID19,IH19,IL19,IP19,IT19,IX19,JB19,JF19,JJ19,JN19,JR19,JV19,JZ19,KD19,KH19,KL19,KP19,KT19,KX19,LB19,LF19,LJ19,LN19,LR19,LV19,LZ19,MD19,#REF!,ML19,MP19,MT19,MX19,NB19,NF19,NJ19,NN19,NR19,NV19,NZ19,OD19,OH19,OL19,OP19,OT19,OX19,PB19,PF19,PJ19,PN19,PR19)</f>
        <v>#REF!</v>
      </c>
      <c r="Z19" s="4" t="e">
        <f>SUM(DB19,DF19,DJ19,DN19,DR19,DV19,DZ19,ED19,EH19,EL19,EP19,ET19,EX19,FB19,FF19,FJ19,FN19,FR19,FV19,FZ19,GD19,GH19,GL19,GP19,GT19,GX19,HB19,HF19,HJ19,HN19,HR19,HV19,HZ19,ID19,IH19,IL19,IP19,IT19,IX19,JB19,JF19,JJ19,JN19,JR19,JV19,JZ19,KD19,KH19,KL19,KP19,KT19,KX19,LB19,LF19,LJ19,LN19,LR19,LV19,LZ19,MD19,#REF!,ML19,MP19,MT19,MX19,NB19,NF19,NJ19,NN19,NR19,NV19,NZ19,OD19,OH19,OL19,OP19,OT19,OX19,PB19,PF19,PJ19,PN19,PR19)</f>
        <v>#REF!</v>
      </c>
      <c r="AA19">
        <f t="shared" si="22"/>
        <v>0</v>
      </c>
      <c r="AB19">
        <f t="shared" si="23"/>
        <v>0</v>
      </c>
      <c r="AC19">
        <f t="shared" si="24"/>
        <v>0</v>
      </c>
      <c r="AD19">
        <f t="shared" si="25"/>
        <v>0</v>
      </c>
      <c r="AE19">
        <f t="shared" si="26"/>
        <v>0</v>
      </c>
      <c r="AF19">
        <f t="shared" si="27"/>
        <v>0</v>
      </c>
      <c r="AG19">
        <f t="shared" si="2"/>
        <v>0</v>
      </c>
      <c r="AH19" t="e">
        <f>SUM(IX19,JB19,JF19,JJ19,JN19,JR19,JV19,JZ19,KD19,KH19,KL19,KP19,KT19,KX19,LB19,LF19,LJ19,LN19,LR19,LV19,LZ19,MD19,#REF!,ML19,MP19,MT19,MX19,NB19,NF19,NJ19,NN19,NR19,NV19,NZ19,OD19,OH19,OL19,OP19,OT19,OX19,PB19,PF19,PJ19,PN19,PR19)</f>
        <v>#REF!</v>
      </c>
      <c r="AI19">
        <v>45</v>
      </c>
      <c r="AJ19" t="s">
        <v>146</v>
      </c>
      <c r="AM19">
        <v>45</v>
      </c>
      <c r="AN19" t="s">
        <v>145</v>
      </c>
      <c r="AQ19">
        <v>60</v>
      </c>
      <c r="AR19" t="s">
        <v>145</v>
      </c>
      <c r="PS19" s="3">
        <f t="shared" si="28"/>
        <v>0</v>
      </c>
      <c r="PT19" s="3">
        <f t="shared" si="29"/>
        <v>0</v>
      </c>
      <c r="PU19" s="3">
        <f t="shared" si="30"/>
        <v>0</v>
      </c>
      <c r="PV19">
        <f>COUNTIF(IU:PR,"HG")</f>
        <v>0</v>
      </c>
      <c r="PW19">
        <f t="shared" si="31"/>
        <v>3</v>
      </c>
    </row>
    <row r="20" spans="1:439" x14ac:dyDescent="0.2">
      <c r="A20" t="s">
        <v>141</v>
      </c>
      <c r="B20">
        <f t="shared" si="32"/>
        <v>75</v>
      </c>
      <c r="C20">
        <f t="shared" si="3"/>
        <v>0</v>
      </c>
      <c r="D20">
        <f t="shared" si="4"/>
        <v>0</v>
      </c>
      <c r="E20">
        <f t="shared" si="5"/>
        <v>0</v>
      </c>
      <c r="F20">
        <f t="shared" si="6"/>
        <v>75</v>
      </c>
      <c r="G20">
        <f t="shared" si="7"/>
        <v>2</v>
      </c>
      <c r="H20" s="3">
        <f t="shared" si="8"/>
        <v>0</v>
      </c>
      <c r="I20" s="3">
        <f t="shared" si="9"/>
        <v>2</v>
      </c>
      <c r="J20" s="3">
        <f t="shared" si="10"/>
        <v>0</v>
      </c>
      <c r="K20">
        <f t="shared" si="11"/>
        <v>0</v>
      </c>
      <c r="L20" s="3">
        <f t="shared" si="12"/>
        <v>0</v>
      </c>
      <c r="M20" s="3">
        <f t="shared" si="13"/>
        <v>0</v>
      </c>
      <c r="N20" s="3">
        <f t="shared" si="14"/>
        <v>0</v>
      </c>
      <c r="O20">
        <f t="shared" si="15"/>
        <v>0</v>
      </c>
      <c r="P20" s="3">
        <f t="shared" si="16"/>
        <v>0</v>
      </c>
      <c r="Q20" s="3">
        <f t="shared" si="17"/>
        <v>0</v>
      </c>
      <c r="R20" s="3">
        <f t="shared" si="18"/>
        <v>0</v>
      </c>
      <c r="S20">
        <f t="shared" si="19"/>
        <v>0</v>
      </c>
      <c r="T20" s="3">
        <f t="shared" si="20"/>
        <v>0</v>
      </c>
      <c r="U20" s="3">
        <f t="shared" si="21"/>
        <v>0</v>
      </c>
      <c r="V20" s="3">
        <f>COUNTIF(IU:PR,"NR")</f>
        <v>0</v>
      </c>
      <c r="W20" s="3">
        <f t="shared" si="0"/>
        <v>0</v>
      </c>
      <c r="X20" s="4">
        <f t="shared" si="1"/>
        <v>0</v>
      </c>
      <c r="Y20" s="4" t="e">
        <f>SUM(AL20,AP20,AT20,AX20,BB20,BF20,BJ20,BN20,BR20,BV20,BZ20,CD20,CH20,CL20,CP20,CT20,CX20,DB20,DF20,DJ20,DN20,DR20,DV20,DZ20,ED20,EH20,EL20,EP20,ET20,EX20,FB20,FF20,FJ20,FN20,FR20,FV20,FZ20,GD20,GH20,GL20,GP20,GT20,GX20,HB20,HF20,HJ20,HN20,HR20,HV20,HZ20,ID20,IH20,IL20,IP20,IT20,IX20,JB20,JF20,JJ20,JN20,JR20,JV20,JZ20,KD20,KH20,KL20,KP20,KT20,KX20,LB20,LF20,LJ20,LN20,LR20,LV20,LZ20,MD20,#REF!,ML20,MP20,MT20,MX20,NB20,NF20,NJ20,NN20,NR20,NV20,NZ20,OD20,OH20,OL20,OP20,OT20,OX20,PB20,PF20,PJ20,PN20,PR20)</f>
        <v>#REF!</v>
      </c>
      <c r="Z20" s="4" t="e">
        <f>SUM(DB20,DF20,DJ20,DN20,DR20,DV20,DZ20,ED20,EH20,EL20,EP20,ET20,EX20,FB20,FF20,FJ20,FN20,FR20,FV20,FZ20,GD20,GH20,GL20,GP20,GT20,GX20,HB20,HF20,HJ20,HN20,HR20,HV20,HZ20,ID20,IH20,IL20,IP20,IT20,IX20,JB20,JF20,JJ20,JN20,JR20,JV20,JZ20,KD20,KH20,KL20,KP20,KT20,KX20,LB20,LF20,LJ20,LN20,LR20,LV20,LZ20,MD20,#REF!,ML20,MP20,MT20,MX20,NB20,NF20,NJ20,NN20,NR20,NV20,NZ20,OD20,OH20,OL20,OP20,OT20,OX20,PB20,PF20,PJ20,PN20,PR20)</f>
        <v>#REF!</v>
      </c>
      <c r="AA20">
        <f t="shared" si="22"/>
        <v>0</v>
      </c>
      <c r="AB20">
        <f t="shared" si="23"/>
        <v>0</v>
      </c>
      <c r="AC20">
        <f t="shared" si="24"/>
        <v>0</v>
      </c>
      <c r="AD20">
        <f t="shared" si="25"/>
        <v>0</v>
      </c>
      <c r="AE20">
        <f t="shared" si="26"/>
        <v>0</v>
      </c>
      <c r="AF20">
        <f t="shared" si="27"/>
        <v>0</v>
      </c>
      <c r="AG20">
        <f t="shared" si="2"/>
        <v>0</v>
      </c>
      <c r="AH20" t="e">
        <f>SUM(IX20,JB20,JF20,JJ20,JN20,JR20,JV20,JZ20,KD20,KH20,KL20,KP20,KT20,KX20,LB20,LF20,LJ20,LN20,LR20,LV20,LZ20,MD20,#REF!,ML20,MP20,MT20,MX20,NB20,NF20,NJ20,NN20,NR20,NV20,NZ20,OD20,OH20,OL20,OP20,OT20,OX20,PB20,PF20,PJ20,PN20,PR20)</f>
        <v>#REF!</v>
      </c>
      <c r="AI20">
        <v>45</v>
      </c>
      <c r="AJ20" t="s">
        <v>146</v>
      </c>
      <c r="AQ20">
        <v>30</v>
      </c>
      <c r="AR20" t="s">
        <v>146</v>
      </c>
      <c r="PS20" s="3">
        <f t="shared" si="28"/>
        <v>0</v>
      </c>
      <c r="PT20" s="3">
        <f t="shared" si="29"/>
        <v>0</v>
      </c>
      <c r="PU20" s="3">
        <f t="shared" si="30"/>
        <v>0</v>
      </c>
      <c r="PV20">
        <f>COUNTIF(IU:PR,"HG")</f>
        <v>0</v>
      </c>
      <c r="PW20">
        <f t="shared" si="31"/>
        <v>2</v>
      </c>
    </row>
    <row r="21" spans="1:439" x14ac:dyDescent="0.2">
      <c r="A21" t="s">
        <v>136</v>
      </c>
      <c r="B21">
        <f t="shared" si="32"/>
        <v>74</v>
      </c>
      <c r="C21">
        <f t="shared" si="3"/>
        <v>0</v>
      </c>
      <c r="D21">
        <f t="shared" si="4"/>
        <v>0</v>
      </c>
      <c r="E21">
        <f t="shared" si="5"/>
        <v>0</v>
      </c>
      <c r="F21">
        <f t="shared" si="6"/>
        <v>74</v>
      </c>
      <c r="G21">
        <f t="shared" si="7"/>
        <v>3</v>
      </c>
      <c r="H21" s="3">
        <f t="shared" si="8"/>
        <v>0</v>
      </c>
      <c r="I21" s="3">
        <f t="shared" si="9"/>
        <v>3</v>
      </c>
      <c r="J21" s="3">
        <f t="shared" si="10"/>
        <v>0</v>
      </c>
      <c r="K21">
        <f t="shared" si="11"/>
        <v>0</v>
      </c>
      <c r="L21" s="3">
        <f t="shared" si="12"/>
        <v>0</v>
      </c>
      <c r="M21" s="3">
        <f t="shared" si="13"/>
        <v>0</v>
      </c>
      <c r="N21" s="3">
        <f t="shared" si="14"/>
        <v>0</v>
      </c>
      <c r="O21">
        <f t="shared" si="15"/>
        <v>0</v>
      </c>
      <c r="P21" s="3">
        <f t="shared" si="16"/>
        <v>0</v>
      </c>
      <c r="Q21" s="3">
        <f t="shared" si="17"/>
        <v>0</v>
      </c>
      <c r="R21" s="3">
        <f t="shared" si="18"/>
        <v>0</v>
      </c>
      <c r="S21">
        <f t="shared" si="19"/>
        <v>0</v>
      </c>
      <c r="T21" s="3">
        <f t="shared" si="20"/>
        <v>0</v>
      </c>
      <c r="U21" s="3">
        <f t="shared" si="21"/>
        <v>0</v>
      </c>
      <c r="V21" s="3">
        <f>COUNTIF(IU:PR,"NR")</f>
        <v>0</v>
      </c>
      <c r="W21" s="3">
        <f t="shared" si="0"/>
        <v>0</v>
      </c>
      <c r="X21" s="4">
        <f t="shared" si="1"/>
        <v>0</v>
      </c>
      <c r="Y21" s="4" t="e">
        <f>SUM(AL21,AP21,AT21,AX21,BB21,BF21,BJ21,BN21,BR21,BV21,BZ21,CD21,CH21,CL21,CP21,CT21,CX21,DB21,DF21,DJ21,DN21,DR21,DV21,DZ21,ED21,EH21,EL21,EP21,ET21,EX21,FB21,FF21,FJ21,FN21,FR21,FV21,FZ21,GD21,GH21,GL21,GP21,GT21,GX21,HB21,HF21,HJ21,HN21,HR21,HV21,HZ21,ID21,IH21,IL21,IP21,IT21,IX21,JB21,JF21,JJ21,JN21,JR21,JV21,JZ21,KD21,KH21,KL21,KP21,KT21,KX21,LB21,LF21,LJ21,LN21,LR21,LV21,LZ21,MD21,#REF!,ML21,MP21,MT21,MX21,NB21,NF21,NJ21,NN21,NR21,NV21,NZ21,OD21,OH21,OL21,OP21,OT21,OX21,PB21,PF21,PJ21,PN21,PR21)</f>
        <v>#REF!</v>
      </c>
      <c r="Z21" s="4" t="e">
        <f>SUM(DB21,DF21,DJ21,DN21,DR21,DV21,DZ21,ED21,EH21,EL21,EP21,ET21,EX21,FB21,FF21,FJ21,FN21,FR21,FV21,FZ21,GD21,GH21,GL21,GP21,GT21,GX21,HB21,HF21,HJ21,HN21,HR21,HV21,HZ21,ID21,IH21,IL21,IP21,IT21,IX21,JB21,JF21,JJ21,JN21,JR21,JV21,JZ21,KD21,KH21,KL21,KP21,KT21,KX21,LB21,LF21,LJ21,LN21,LR21,LV21,LZ21,MD21,#REF!,ML21,MP21,MT21,MX21,NB21,NF21,NJ21,NN21,NR21,NV21,NZ21,OD21,OH21,OL21,OP21,OT21,OX21,PB21,PF21,PJ21,PN21,PR21)</f>
        <v>#REF!</v>
      </c>
      <c r="AA21">
        <f t="shared" si="22"/>
        <v>0</v>
      </c>
      <c r="AB21">
        <f t="shared" si="23"/>
        <v>0</v>
      </c>
      <c r="AC21">
        <f t="shared" si="24"/>
        <v>0</v>
      </c>
      <c r="AD21">
        <f t="shared" si="25"/>
        <v>0</v>
      </c>
      <c r="AE21">
        <f t="shared" si="26"/>
        <v>0</v>
      </c>
      <c r="AF21">
        <f t="shared" si="27"/>
        <v>0</v>
      </c>
      <c r="AG21">
        <f t="shared" si="2"/>
        <v>0</v>
      </c>
      <c r="AH21" t="e">
        <f>SUM(IX21,JB21,JF21,JJ21,JN21,JR21,JV21,JZ21,KD21,KH21,KL21,KP21,KT21,KX21,LB21,LF21,LJ21,LN21,LR21,LV21,LZ21,MD21,#REF!,ML21,MP21,MT21,MX21,NB21,NF21,NJ21,NN21,NR21,NV21,NZ21,OD21,OH21,OL21,OP21,OT21,OX21,PB21,PF21,PJ21,PN21,PR21)</f>
        <v>#REF!</v>
      </c>
      <c r="AI21">
        <v>22</v>
      </c>
      <c r="AJ21" t="s">
        <v>146</v>
      </c>
      <c r="AM21">
        <v>22</v>
      </c>
      <c r="AN21" t="s">
        <v>146</v>
      </c>
      <c r="AQ21">
        <v>30</v>
      </c>
      <c r="AR21" t="s">
        <v>146</v>
      </c>
      <c r="PS21" s="3">
        <f t="shared" si="28"/>
        <v>0</v>
      </c>
      <c r="PT21" s="3">
        <f t="shared" si="29"/>
        <v>0</v>
      </c>
      <c r="PU21" s="3">
        <f t="shared" si="30"/>
        <v>0</v>
      </c>
      <c r="PV21">
        <f>COUNTIF(IU:PR,"HG")</f>
        <v>0</v>
      </c>
      <c r="PW21">
        <f t="shared" si="31"/>
        <v>3</v>
      </c>
    </row>
    <row r="22" spans="1:439" x14ac:dyDescent="0.2">
      <c r="A22" t="s">
        <v>137</v>
      </c>
      <c r="B22">
        <f t="shared" si="32"/>
        <v>82</v>
      </c>
      <c r="C22">
        <f t="shared" si="3"/>
        <v>0</v>
      </c>
      <c r="D22">
        <f t="shared" si="4"/>
        <v>0</v>
      </c>
      <c r="E22">
        <f t="shared" si="5"/>
        <v>0</v>
      </c>
      <c r="F22">
        <f t="shared" si="6"/>
        <v>82</v>
      </c>
      <c r="G22">
        <f t="shared" si="7"/>
        <v>3</v>
      </c>
      <c r="H22" s="3">
        <f t="shared" si="8"/>
        <v>0</v>
      </c>
      <c r="I22" s="3">
        <f t="shared" si="9"/>
        <v>3</v>
      </c>
      <c r="J22" s="3">
        <f t="shared" si="10"/>
        <v>0</v>
      </c>
      <c r="K22">
        <f t="shared" si="11"/>
        <v>0</v>
      </c>
      <c r="L22" s="3">
        <f t="shared" si="12"/>
        <v>0</v>
      </c>
      <c r="M22" s="3">
        <f t="shared" si="13"/>
        <v>0</v>
      </c>
      <c r="N22" s="3">
        <f t="shared" si="14"/>
        <v>0</v>
      </c>
      <c r="O22">
        <f t="shared" si="15"/>
        <v>0</v>
      </c>
      <c r="P22" s="3">
        <f t="shared" si="16"/>
        <v>0</v>
      </c>
      <c r="Q22" s="3">
        <f t="shared" si="17"/>
        <v>0</v>
      </c>
      <c r="R22" s="3">
        <f t="shared" si="18"/>
        <v>0</v>
      </c>
      <c r="S22">
        <f t="shared" si="19"/>
        <v>0</v>
      </c>
      <c r="T22" s="3">
        <f t="shared" si="20"/>
        <v>0</v>
      </c>
      <c r="U22" s="3">
        <f t="shared" si="21"/>
        <v>0</v>
      </c>
      <c r="V22" s="3">
        <f>COUNTIF(IU:PR,"NR")</f>
        <v>0</v>
      </c>
      <c r="W22" s="3">
        <f t="shared" si="0"/>
        <v>0</v>
      </c>
      <c r="X22" s="4">
        <f t="shared" si="1"/>
        <v>0</v>
      </c>
      <c r="Y22" s="4" t="e">
        <f>SUM(AL22,AP22,AT22,AX22,BB22,BF22,BJ22,BN22,BR22,BV22,BZ22,CD22,CH22,CL22,CP22,CT22,CX22,DB22,DF22,DJ22,DN22,DR22,DV22,DZ22,ED22,EH22,EL22,EP22,ET22,EX22,FB22,FF22,FJ22,FN22,FR22,FV22,FZ22,GD22,GH22,GL22,GP22,GT22,GX22,HB22,HF22,HJ22,HN22,HR22,HV22,HZ22,ID22,IH22,IL22,IP22,IT22,IX22,JB22,JF22,JJ22,JN22,JR22,JV22,JZ22,KD22,KH22,KL22,KP22,KT22,KX22,LB22,LF22,LJ22,LN22,LR22,LV22,LZ22,MD22,#REF!,ML22,MP22,MT22,MX22,NB22,NF22,NJ22,NN22,NR22,NV22,NZ22,OD22,OH22,OL22,OP22,OT22,OX22,PB22,PF22,PJ22,PN22,PR22)</f>
        <v>#REF!</v>
      </c>
      <c r="Z22" s="4" t="e">
        <f>SUM(DB22,DF22,DJ22,DN22,DR22,DV22,DZ22,ED22,EH22,EL22,EP22,ET22,EX22,FB22,FF22,FJ22,FN22,FR22,FV22,FZ22,GD22,GH22,GL22,GP22,GT22,GX22,HB22,HF22,HJ22,HN22,HR22,HV22,HZ22,ID22,IH22,IL22,IP22,IT22,IX22,JB22,JF22,JJ22,JN22,JR22,JV22,JZ22,KD22,KH22,KL22,KP22,KT22,KX22,LB22,LF22,LJ22,LN22,LR22,LV22,LZ22,MD22,#REF!,ML22,MP22,MT22,MX22,NB22,NF22,NJ22,NN22,NR22,NV22,NZ22,OD22,OH22,OL22,OP22,OT22,OX22,PB22,PF22,PJ22,PN22,PR22)</f>
        <v>#REF!</v>
      </c>
      <c r="AA22">
        <f t="shared" si="22"/>
        <v>0</v>
      </c>
      <c r="AB22">
        <f t="shared" si="23"/>
        <v>0</v>
      </c>
      <c r="AC22">
        <f t="shared" si="24"/>
        <v>0</v>
      </c>
      <c r="AD22">
        <f t="shared" si="25"/>
        <v>0</v>
      </c>
      <c r="AE22">
        <f t="shared" si="26"/>
        <v>0</v>
      </c>
      <c r="AF22">
        <f t="shared" si="27"/>
        <v>1</v>
      </c>
      <c r="AG22">
        <f t="shared" si="2"/>
        <v>0</v>
      </c>
      <c r="AH22" t="e">
        <f>SUM(IX22,JB22,JF22,JJ22,JN22,JR22,JV22,JZ22,KD22,KH22,KL22,KP22,KT22,KX22,LB22,LF22,LJ22,LN22,LR22,LV22,LZ22,MD22,#REF!,ML22,MP22,MT22,MX22,NB22,NF22,NJ22,NN22,NR22,NV22,NZ22,OD22,OH22,OL22,OP22,OT22,OX22,PB22,PF22,PJ22,PN22,PR22)</f>
        <v>#REF!</v>
      </c>
      <c r="AI22">
        <v>22</v>
      </c>
      <c r="AJ22" t="s">
        <v>146</v>
      </c>
      <c r="AL22">
        <v>1</v>
      </c>
      <c r="AM22">
        <v>30</v>
      </c>
      <c r="AN22" t="s">
        <v>146</v>
      </c>
      <c r="AQ22">
        <v>30</v>
      </c>
      <c r="AR22" t="s">
        <v>146</v>
      </c>
      <c r="PS22" s="3">
        <f t="shared" si="28"/>
        <v>0</v>
      </c>
      <c r="PT22" s="3">
        <f t="shared" si="29"/>
        <v>0</v>
      </c>
      <c r="PU22" s="3">
        <f t="shared" si="30"/>
        <v>0</v>
      </c>
      <c r="PV22">
        <f>COUNTIF(IU:PR,"HG")</f>
        <v>0</v>
      </c>
      <c r="PW22">
        <f t="shared" si="31"/>
        <v>3</v>
      </c>
    </row>
    <row r="23" spans="1:439" x14ac:dyDescent="0.2">
      <c r="A23" t="s">
        <v>138</v>
      </c>
      <c r="B23">
        <f t="shared" si="32"/>
        <v>60</v>
      </c>
      <c r="C23">
        <f t="shared" si="3"/>
        <v>0</v>
      </c>
      <c r="D23">
        <f t="shared" si="4"/>
        <v>0</v>
      </c>
      <c r="E23">
        <f t="shared" si="5"/>
        <v>0</v>
      </c>
      <c r="F23">
        <f t="shared" si="6"/>
        <v>60</v>
      </c>
      <c r="G23">
        <f t="shared" si="7"/>
        <v>2</v>
      </c>
      <c r="H23" s="3">
        <f t="shared" si="8"/>
        <v>1</v>
      </c>
      <c r="I23" s="3">
        <f t="shared" si="9"/>
        <v>1</v>
      </c>
      <c r="J23" s="3">
        <f t="shared" si="10"/>
        <v>0</v>
      </c>
      <c r="K23">
        <f t="shared" si="11"/>
        <v>0</v>
      </c>
      <c r="L23" s="3">
        <f t="shared" si="12"/>
        <v>0</v>
      </c>
      <c r="M23" s="3">
        <f t="shared" si="13"/>
        <v>0</v>
      </c>
      <c r="N23" s="3">
        <f t="shared" si="14"/>
        <v>0</v>
      </c>
      <c r="O23">
        <f t="shared" si="15"/>
        <v>0</v>
      </c>
      <c r="P23" s="3">
        <f t="shared" si="16"/>
        <v>0</v>
      </c>
      <c r="Q23" s="3">
        <f t="shared" si="17"/>
        <v>0</v>
      </c>
      <c r="R23" s="3">
        <f t="shared" si="18"/>
        <v>0</v>
      </c>
      <c r="S23">
        <f t="shared" si="19"/>
        <v>0</v>
      </c>
      <c r="T23" s="3">
        <f t="shared" si="20"/>
        <v>0</v>
      </c>
      <c r="U23" s="3">
        <f t="shared" si="21"/>
        <v>0</v>
      </c>
      <c r="V23" s="3">
        <f>COUNTIF(IU:PR,"NR")</f>
        <v>0</v>
      </c>
      <c r="W23" s="3">
        <f t="shared" si="0"/>
        <v>1</v>
      </c>
      <c r="X23" s="4">
        <f t="shared" si="1"/>
        <v>0</v>
      </c>
      <c r="Y23" s="4" t="e">
        <f>SUM(AL23,AP23,AT23,AX23,BB23,BF23,BJ23,BN23,BR23,BV23,BZ23,CD23,CH23,CL23,CP23,CT23,CX23,DB23,DF23,DJ23,DN23,DR23,DV23,DZ23,ED23,EH23,EL23,EP23,ET23,EX23,FB23,FF23,FJ23,FN23,FR23,FV23,FZ23,GD23,GH23,GL23,GP23,GT23,GX23,HB23,HF23,HJ23,HN23,HR23,HV23,HZ23,ID23,IH23,IL23,IP23,IT23,IX23,JB23,JF23,JJ23,JN23,JR23,JV23,JZ23,KD23,KH23,KL23,KP23,KT23,KX23,LB23,LF23,LJ23,LN23,LR23,LV23,LZ23,MD23,#REF!,ML23,MP23,MT23,MX23,NB23,NF23,NJ23,NN23,NR23,NV23,NZ23,OD23,OH23,OL23,OP23,OT23,OX23,PB23,PF23,PJ23,PN23,PR23)</f>
        <v>#REF!</v>
      </c>
      <c r="Z23" s="4" t="e">
        <f>SUM(DB23,DF23,DJ23,DN23,DR23,DV23,DZ23,ED23,EH23,EL23,EP23,ET23,EX23,FB23,FF23,FJ23,FN23,FR23,FV23,FZ23,GD23,GH23,GL23,GP23,GT23,GX23,HB23,HF23,HJ23,HN23,HR23,HV23,HZ23,ID23,IH23,IL23,IP23,IT23,IX23,JB23,JF23,JJ23,JN23,JR23,JV23,JZ23,KD23,KH23,KL23,KP23,KT23,KX23,LB23,LF23,LJ23,LN23,LR23,LV23,LZ23,MD23,#REF!,ML23,MP23,MT23,MX23,NB23,NF23,NJ23,NN23,NR23,NV23,NZ23,OD23,OH23,OL23,OP23,OT23,OX23,PB23,PF23,PJ23,PN23,PR23)</f>
        <v>#REF!</v>
      </c>
      <c r="AA23">
        <f t="shared" si="22"/>
        <v>0</v>
      </c>
      <c r="AB23">
        <f t="shared" si="23"/>
        <v>0</v>
      </c>
      <c r="AC23">
        <f t="shared" si="24"/>
        <v>0</v>
      </c>
      <c r="AD23">
        <f t="shared" si="25"/>
        <v>0</v>
      </c>
      <c r="AE23">
        <f t="shared" si="26"/>
        <v>1</v>
      </c>
      <c r="AF23">
        <f t="shared" si="27"/>
        <v>0</v>
      </c>
      <c r="AG23">
        <f t="shared" si="2"/>
        <v>0</v>
      </c>
      <c r="AH23" t="e">
        <f>SUM(IX23,JB23,JF23,JJ23,JN23,JR23,JV23,JZ23,KD23,KH23,KL23,KP23,KT23,KX23,LB23,LF23,LJ23,LN23,LR23,LV23,LZ23,MD23,#REF!,ML23,MP23,MT23,MX23,NB23,NF23,NJ23,NN23,NR23,NV23,NZ23,OD23,OH23,OL23,OP23,OT23,OX23,PB23,PF23,PJ23,PN23,PR23)</f>
        <v>#REF!</v>
      </c>
      <c r="AI23">
        <v>45</v>
      </c>
      <c r="AJ23" t="s">
        <v>145</v>
      </c>
      <c r="AM23">
        <v>15</v>
      </c>
      <c r="AN23" t="s">
        <v>146</v>
      </c>
      <c r="AO23">
        <v>1</v>
      </c>
      <c r="PS23" s="3">
        <f t="shared" si="28"/>
        <v>0</v>
      </c>
      <c r="PT23" s="3">
        <f t="shared" si="29"/>
        <v>0</v>
      </c>
      <c r="PU23" s="3">
        <f t="shared" si="30"/>
        <v>0</v>
      </c>
      <c r="PV23">
        <f>COUNTIF(IU:PR,"HG")</f>
        <v>0</v>
      </c>
      <c r="PW23">
        <f t="shared" si="31"/>
        <v>2</v>
      </c>
    </row>
    <row r="24" spans="1:439" x14ac:dyDescent="0.2">
      <c r="A24" t="s">
        <v>140</v>
      </c>
      <c r="B24">
        <f t="shared" si="32"/>
        <v>90</v>
      </c>
      <c r="C24">
        <f t="shared" si="3"/>
        <v>0</v>
      </c>
      <c r="D24">
        <f t="shared" si="4"/>
        <v>0</v>
      </c>
      <c r="E24">
        <f t="shared" si="5"/>
        <v>0</v>
      </c>
      <c r="F24">
        <f t="shared" si="6"/>
        <v>90</v>
      </c>
      <c r="G24">
        <f t="shared" si="7"/>
        <v>2</v>
      </c>
      <c r="H24" s="3">
        <f t="shared" si="8"/>
        <v>1</v>
      </c>
      <c r="I24" s="3">
        <f t="shared" si="9"/>
        <v>1</v>
      </c>
      <c r="J24" s="3">
        <f t="shared" si="10"/>
        <v>0</v>
      </c>
      <c r="K24">
        <f t="shared" si="11"/>
        <v>0</v>
      </c>
      <c r="L24" s="3">
        <f t="shared" si="12"/>
        <v>0</v>
      </c>
      <c r="M24" s="3">
        <f t="shared" si="13"/>
        <v>0</v>
      </c>
      <c r="N24" s="3">
        <f t="shared" si="14"/>
        <v>0</v>
      </c>
      <c r="O24">
        <f t="shared" si="15"/>
        <v>0</v>
      </c>
      <c r="P24" s="3">
        <f t="shared" si="16"/>
        <v>0</v>
      </c>
      <c r="Q24" s="3">
        <f t="shared" si="17"/>
        <v>0</v>
      </c>
      <c r="R24" s="3">
        <f t="shared" si="18"/>
        <v>0</v>
      </c>
      <c r="S24">
        <f t="shared" si="19"/>
        <v>0</v>
      </c>
      <c r="T24" s="3">
        <f t="shared" si="20"/>
        <v>0</v>
      </c>
      <c r="U24" s="3">
        <f t="shared" si="21"/>
        <v>0</v>
      </c>
      <c r="V24" s="3">
        <f>COUNTIF(IU:PR,"NR")</f>
        <v>0</v>
      </c>
      <c r="W24" s="3">
        <f t="shared" si="0"/>
        <v>0</v>
      </c>
      <c r="X24" s="4">
        <f t="shared" si="1"/>
        <v>0</v>
      </c>
      <c r="Y24" s="4" t="e">
        <f>SUM(AL24,AP24,AT24,AX24,BB24,BF24,BJ24,BN24,BR24,BV24,BZ24,CD24,CH24,CL24,CP24,CT24,CX24,DB24,DF24,DJ24,DN24,DR24,DV24,DZ24,ED24,EH24,EL24,EP24,ET24,EX24,FB24,FF24,FJ24,FN24,FR24,FV24,FZ24,GD24,GH24,GL24,GP24,GT24,GX24,HB24,HF24,HJ24,HN24,HR24,HV24,HZ24,ID24,IH24,IL24,IP24,IT24,IX24,JB24,JF24,JJ24,JN24,JR24,JV24,JZ24,KD24,KH24,KL24,KP24,KT24,KX24,LB24,LF24,LJ24,LN24,LR24,LV24,LZ24,MD24,#REF!,ML24,MP24,MT24,MX24,NB24,NF24,NJ24,NN24,NR24,NV24,NZ24,OD24,OH24,OL24,OP24,OT24,OX24,PB24,PF24,PJ24,PN24,PR24)</f>
        <v>#REF!</v>
      </c>
      <c r="Z24" s="4" t="e">
        <f>SUM(DB24,DF24,DJ24,DN24,DR24,DV24,DZ24,ED24,EH24,EL24,EP24,ET24,EX24,FB24,FF24,FJ24,FN24,FR24,FV24,FZ24,GD24,GH24,GL24,GP24,GT24,GX24,HB24,HF24,HJ24,HN24,HR24,HV24,HZ24,ID24,IH24,IL24,IP24,IT24,IX24,JB24,JF24,JJ24,JN24,JR24,JV24,JZ24,KD24,KH24,KL24,KP24,KT24,KX24,LB24,LF24,LJ24,LN24,LR24,LV24,LZ24,MD24,#REF!,ML24,MP24,MT24,MX24,NB24,NF24,NJ24,NN24,NR24,NV24,NZ24,OD24,OH24,OL24,OP24,OT24,OX24,PB24,PF24,PJ24,PN24,PR24)</f>
        <v>#REF!</v>
      </c>
      <c r="AA24">
        <f t="shared" si="22"/>
        <v>0</v>
      </c>
      <c r="AB24">
        <f t="shared" si="23"/>
        <v>0</v>
      </c>
      <c r="AC24">
        <f t="shared" si="24"/>
        <v>0</v>
      </c>
      <c r="AD24">
        <f t="shared" si="25"/>
        <v>0</v>
      </c>
      <c r="AE24">
        <f t="shared" si="26"/>
        <v>0</v>
      </c>
      <c r="AF24">
        <f t="shared" si="27"/>
        <v>0</v>
      </c>
      <c r="AG24">
        <f t="shared" si="2"/>
        <v>0</v>
      </c>
      <c r="AH24" t="e">
        <f>SUM(IX24,JB24,JF24,JJ24,JN24,JR24,JV24,JZ24,KD24,KH24,KL24,KP24,KT24,KX24,LB24,LF24,LJ24,LN24,LR24,LV24,LZ24,MD24,#REF!,ML24,MP24,MT24,MX24,NB24,NF24,NJ24,NN24,NR24,NV24,NZ24,OD24,OH24,OL24,OP24,OT24,OX24,PB24,PF24,PJ24,PN24,PR24)</f>
        <v>#REF!</v>
      </c>
      <c r="AI24">
        <v>45</v>
      </c>
      <c r="AJ24" t="s">
        <v>145</v>
      </c>
      <c r="AM24">
        <v>45</v>
      </c>
      <c r="AN24" t="s">
        <v>146</v>
      </c>
      <c r="PS24" s="3">
        <f t="shared" si="28"/>
        <v>0</v>
      </c>
      <c r="PT24" s="3">
        <f t="shared" si="29"/>
        <v>0</v>
      </c>
      <c r="PU24" s="3">
        <f t="shared" si="30"/>
        <v>0</v>
      </c>
      <c r="PV24">
        <f>COUNTIF(IU:PR,"HG")</f>
        <v>0</v>
      </c>
      <c r="PW24">
        <f t="shared" si="31"/>
        <v>2</v>
      </c>
    </row>
    <row r="25" spans="1:439" x14ac:dyDescent="0.2">
      <c r="A25" t="s">
        <v>139</v>
      </c>
      <c r="B25">
        <f t="shared" si="32"/>
        <v>120</v>
      </c>
      <c r="C25">
        <f t="shared" si="3"/>
        <v>0</v>
      </c>
      <c r="D25">
        <f t="shared" si="4"/>
        <v>0</v>
      </c>
      <c r="E25">
        <f t="shared" si="5"/>
        <v>0</v>
      </c>
      <c r="F25">
        <f t="shared" si="6"/>
        <v>120</v>
      </c>
      <c r="G25">
        <f t="shared" si="7"/>
        <v>3</v>
      </c>
      <c r="H25" s="3">
        <f t="shared" si="8"/>
        <v>1</v>
      </c>
      <c r="I25" s="3">
        <f t="shared" si="9"/>
        <v>2</v>
      </c>
      <c r="J25" s="3">
        <f t="shared" si="10"/>
        <v>0</v>
      </c>
      <c r="K25">
        <f t="shared" si="11"/>
        <v>0</v>
      </c>
      <c r="L25" s="3">
        <f t="shared" si="12"/>
        <v>0</v>
      </c>
      <c r="M25" s="3">
        <f t="shared" si="13"/>
        <v>0</v>
      </c>
      <c r="N25" s="3">
        <f t="shared" si="14"/>
        <v>0</v>
      </c>
      <c r="O25">
        <f t="shared" si="15"/>
        <v>0</v>
      </c>
      <c r="P25" s="3">
        <f t="shared" si="16"/>
        <v>0</v>
      </c>
      <c r="Q25" s="3">
        <f t="shared" si="17"/>
        <v>0</v>
      </c>
      <c r="R25" s="3">
        <f t="shared" si="18"/>
        <v>0</v>
      </c>
      <c r="S25">
        <f t="shared" si="19"/>
        <v>0</v>
      </c>
      <c r="T25" s="3">
        <f t="shared" si="20"/>
        <v>0</v>
      </c>
      <c r="U25" s="3">
        <f t="shared" si="21"/>
        <v>0</v>
      </c>
      <c r="V25" s="3">
        <f>COUNTIF(IU:PR,"NR")</f>
        <v>0</v>
      </c>
      <c r="W25" s="3">
        <f t="shared" si="0"/>
        <v>1</v>
      </c>
      <c r="X25" s="4">
        <f t="shared" si="1"/>
        <v>0</v>
      </c>
      <c r="Y25" s="4" t="e">
        <f>SUM(AL25,AP25,AT25,AX25,BB25,BF25,BJ25,BN25,BR25,BV25,BZ25,CD25,CH25,CL25,CP25,CT25,CX25,DB25,DF25,DJ25,DN25,DR25,DV25,DZ25,ED25,EH25,EL25,EP25,ET25,EX25,FB25,FF25,FJ25,FN25,FR25,FV25,FZ25,GD25,GH25,GL25,GP25,GT25,GX25,HB25,HF25,HJ25,HN25,HR25,HV25,HZ25,ID25,IH25,IL25,IP25,IT25,IX25,JB25,JF25,JJ25,JN25,JR25,JV25,JZ25,KD25,KH25,KL25,KP25,KT25,KX25,LB25,LF25,LJ25,LN25,LR25,LV25,LZ25,MD25,#REF!,ML25,MP25,MT25,MX25,NB25,NF25,NJ25,NN25,NR25,NV25,NZ25,OD25,OH25,OL25,OP25,OT25,OX25,PB25,PF25,PJ25,PN25,PR25)</f>
        <v>#REF!</v>
      </c>
      <c r="Z25" s="4" t="e">
        <f>SUM(DB25,DF25,DJ25,DN25,DR25,DV25,DZ25,ED25,EH25,EL25,EP25,ET25,EX25,FB25,FF25,FJ25,FN25,FR25,FV25,FZ25,GD25,GH25,GL25,GP25,GT25,GX25,HB25,HF25,HJ25,HN25,HR25,HV25,HZ25,ID25,IH25,IL25,IP25,IT25,IX25,JB25,JF25,JJ25,JN25,JR25,JV25,JZ25,KD25,KH25,KL25,KP25,KT25,KX25,LB25,LF25,LJ25,LN25,LR25,LV25,LZ25,MD25,#REF!,ML25,MP25,MT25,MX25,NB25,NF25,NJ25,NN25,NR25,NV25,NZ25,OD25,OH25,OL25,OP25,OT25,OX25,PB25,PF25,PJ25,PN25,PR25)</f>
        <v>#REF!</v>
      </c>
      <c r="AA25">
        <f t="shared" si="22"/>
        <v>0</v>
      </c>
      <c r="AB25">
        <f t="shared" si="23"/>
        <v>0</v>
      </c>
      <c r="AC25">
        <f t="shared" si="24"/>
        <v>0</v>
      </c>
      <c r="AD25">
        <f t="shared" si="25"/>
        <v>0</v>
      </c>
      <c r="AE25">
        <f t="shared" si="26"/>
        <v>1</v>
      </c>
      <c r="AF25">
        <f t="shared" si="27"/>
        <v>0</v>
      </c>
      <c r="AG25">
        <f t="shared" si="2"/>
        <v>0</v>
      </c>
      <c r="AH25" t="e">
        <f>SUM(IX25,JB25,JF25,JJ25,JN25,JR25,JV25,JZ25,KD25,KH25,KL25,KP25,KT25,KX25,LB25,LF25,LJ25,LN25,LR25,LV25,LZ25,MD25,#REF!,ML25,MP25,MT25,MX25,NB25,NF25,NJ25,NN25,NR25,NV25,NZ25,OD25,OH25,OL25,OP25,OT25,OX25,PB25,PF25,PJ25,PN25,PR25)</f>
        <v>#REF!</v>
      </c>
      <c r="AI25">
        <v>45</v>
      </c>
      <c r="AJ25" t="s">
        <v>145</v>
      </c>
      <c r="AM25">
        <v>45</v>
      </c>
      <c r="AN25" t="s">
        <v>146</v>
      </c>
      <c r="AQ25">
        <v>30</v>
      </c>
      <c r="AR25" t="s">
        <v>146</v>
      </c>
      <c r="AS25">
        <v>1</v>
      </c>
      <c r="PS25" s="3">
        <f t="shared" si="28"/>
        <v>0</v>
      </c>
      <c r="PT25" s="3">
        <f t="shared" si="29"/>
        <v>0</v>
      </c>
      <c r="PU25" s="3">
        <f t="shared" si="30"/>
        <v>0</v>
      </c>
      <c r="PV25">
        <f>COUNTIF(IU:PR,"HG")</f>
        <v>0</v>
      </c>
      <c r="PW25">
        <f t="shared" si="31"/>
        <v>3</v>
      </c>
    </row>
    <row r="26" spans="1:439" x14ac:dyDescent="0.2">
      <c r="A26" t="s">
        <v>116</v>
      </c>
      <c r="B26">
        <f t="shared" si="32"/>
        <v>0</v>
      </c>
      <c r="C26">
        <f t="shared" si="3"/>
        <v>0</v>
      </c>
      <c r="D26">
        <f t="shared" si="4"/>
        <v>0</v>
      </c>
      <c r="E26">
        <f t="shared" si="5"/>
        <v>0</v>
      </c>
      <c r="F26">
        <f t="shared" si="6"/>
        <v>0</v>
      </c>
      <c r="G26">
        <f t="shared" si="7"/>
        <v>0</v>
      </c>
      <c r="H26" s="3">
        <f t="shared" si="8"/>
        <v>0</v>
      </c>
      <c r="I26" s="3">
        <f t="shared" si="9"/>
        <v>0</v>
      </c>
      <c r="J26" s="3">
        <f t="shared" si="10"/>
        <v>0</v>
      </c>
      <c r="K26">
        <f t="shared" si="11"/>
        <v>0</v>
      </c>
      <c r="L26" s="3">
        <f t="shared" si="12"/>
        <v>0</v>
      </c>
      <c r="M26" s="3">
        <f t="shared" si="13"/>
        <v>0</v>
      </c>
      <c r="N26" s="3">
        <f t="shared" si="14"/>
        <v>0</v>
      </c>
      <c r="O26">
        <f t="shared" si="15"/>
        <v>0</v>
      </c>
      <c r="P26" s="3">
        <f t="shared" si="16"/>
        <v>0</v>
      </c>
      <c r="Q26" s="3">
        <f t="shared" si="17"/>
        <v>0</v>
      </c>
      <c r="R26" s="3">
        <f t="shared" si="18"/>
        <v>0</v>
      </c>
      <c r="S26">
        <f t="shared" si="19"/>
        <v>0</v>
      </c>
      <c r="T26" s="3">
        <f t="shared" si="20"/>
        <v>0</v>
      </c>
      <c r="U26" s="3">
        <f t="shared" si="21"/>
        <v>0</v>
      </c>
      <c r="V26" s="3">
        <f>COUNTIF(IU:PR,"NR")</f>
        <v>0</v>
      </c>
      <c r="W26" s="3">
        <f t="shared" si="0"/>
        <v>0</v>
      </c>
      <c r="X26" s="4">
        <f t="shared" si="1"/>
        <v>0</v>
      </c>
      <c r="Y26" s="4" t="e">
        <f>SUM(AL26,AP26,AT26,AX26,BB26,BF26,BJ26,BN26,BR26,BV26,BZ26,CD26,CH26,CL26,CP26,CT26,CX26,DB26,DF26,DJ26,DN26,DR26,DV26,DZ26,ED26,EH26,EL26,EP26,ET26,EX26,FB26,FF26,FJ26,FN26,FR26,FV26,FZ26,GD26,GH26,GL26,GP26,GT26,GX26,HB26,HF26,HJ26,HN26,HR26,HV26,HZ26,ID26,IH26,IL26,IP26,IT26,IX26,JB26,JF26,JJ26,JN26,JR26,JV26,JZ26,KD26,KH26,KL26,KP26,KT26,KX26,LB26,LF26,LJ26,LN26,LR26,LV26,LZ26,MD26,#REF!,ML26,MP26,MT26,MX26,NB26,NF26,NJ26,NN26,NR26,NV26,NZ26,OD26,OH26,OL26,OP26,OT26,OX26,PB26,PF26,PJ26,PN26,PR26)</f>
        <v>#REF!</v>
      </c>
      <c r="Z26" s="4" t="e">
        <f>SUM(DB26,DF26,DJ26,DN26,DR26,DV26,DZ26,ED26,EH26,EL26,EP26,ET26,EX26,FB26,FF26,FJ26,FN26,FR26,FV26,FZ26,GD26,GH26,GL26,GP26,GT26,GX26,HB26,HF26,HJ26,HN26,HR26,HV26,HZ26,ID26,IH26,IL26,IP26,IT26,IX26,JB26,JF26,JJ26,JN26,JR26,JV26,JZ26,KD26,KH26,KL26,KP26,KT26,KX26,LB26,LF26,LJ26,LN26,LR26,LV26,LZ26,MD26,#REF!,ML26,MP26,MT26,MX26,NB26,NF26,NJ26,NN26,NR26,NV26,NZ26,OD26,OH26,OL26,OP26,OT26,OX26,PB26,PF26,PJ26,PN26,PR26)</f>
        <v>#REF!</v>
      </c>
      <c r="AA26">
        <f t="shared" si="22"/>
        <v>0</v>
      </c>
      <c r="AB26">
        <f t="shared" si="23"/>
        <v>0</v>
      </c>
      <c r="AC26">
        <f t="shared" si="24"/>
        <v>0</v>
      </c>
      <c r="AD26">
        <f t="shared" si="25"/>
        <v>0</v>
      </c>
      <c r="AE26">
        <f t="shared" si="26"/>
        <v>0</v>
      </c>
      <c r="AF26">
        <f t="shared" si="27"/>
        <v>0</v>
      </c>
      <c r="AG26">
        <f t="shared" si="2"/>
        <v>0</v>
      </c>
      <c r="AH26" t="e">
        <f>SUM(IX26,JB26,JF26,JJ26,JN26,JR26,JV26,JZ26,KD26,KH26,KL26,KP26,KT26,KX26,LB26,LF26,LJ26,LN26,LR26,LV26,LZ26,MD26,#REF!,ML26,MP26,MT26,MX26,NB26,NF26,NJ26,NN26,NR26,NV26,NZ26,OD26,OH26,OL26,OP26,OT26,OX26,PB26,PF26,PJ26,PN26,PR26)</f>
        <v>#REF!</v>
      </c>
      <c r="PS26" s="3">
        <f t="shared" si="28"/>
        <v>0</v>
      </c>
      <c r="PT26" s="3">
        <f t="shared" si="29"/>
        <v>0</v>
      </c>
      <c r="PU26" s="3">
        <f t="shared" si="30"/>
        <v>0</v>
      </c>
      <c r="PV26">
        <f>COUNTIF(IU:PR,"HG")</f>
        <v>0</v>
      </c>
      <c r="PW26">
        <f t="shared" si="31"/>
        <v>0</v>
      </c>
    </row>
    <row r="27" spans="1:439" x14ac:dyDescent="0.2">
      <c r="A27" t="s">
        <v>142</v>
      </c>
      <c r="B27">
        <f t="shared" si="32"/>
        <v>90</v>
      </c>
      <c r="C27">
        <f t="shared" si="3"/>
        <v>0</v>
      </c>
      <c r="D27">
        <f t="shared" si="4"/>
        <v>0</v>
      </c>
      <c r="E27">
        <f t="shared" si="5"/>
        <v>0</v>
      </c>
      <c r="F27">
        <f t="shared" si="6"/>
        <v>90</v>
      </c>
      <c r="G27">
        <f t="shared" si="7"/>
        <v>2</v>
      </c>
      <c r="H27" s="3">
        <f t="shared" si="8"/>
        <v>1</v>
      </c>
      <c r="I27" s="3">
        <f t="shared" si="9"/>
        <v>1</v>
      </c>
      <c r="J27" s="3">
        <f t="shared" si="10"/>
        <v>0</v>
      </c>
      <c r="K27">
        <f t="shared" si="11"/>
        <v>0</v>
      </c>
      <c r="L27" s="3">
        <f t="shared" si="12"/>
        <v>0</v>
      </c>
      <c r="M27" s="3">
        <f t="shared" si="13"/>
        <v>0</v>
      </c>
      <c r="N27" s="3">
        <f t="shared" si="14"/>
        <v>0</v>
      </c>
      <c r="O27">
        <f t="shared" si="15"/>
        <v>0</v>
      </c>
      <c r="P27" s="3">
        <f t="shared" si="16"/>
        <v>0</v>
      </c>
      <c r="Q27" s="3">
        <f t="shared" si="17"/>
        <v>0</v>
      </c>
      <c r="R27" s="3">
        <f t="shared" si="18"/>
        <v>0</v>
      </c>
      <c r="S27">
        <f t="shared" si="19"/>
        <v>0</v>
      </c>
      <c r="T27" s="3">
        <f t="shared" si="20"/>
        <v>0</v>
      </c>
      <c r="U27" s="3">
        <f t="shared" si="21"/>
        <v>0</v>
      </c>
      <c r="V27" s="3">
        <f>COUNTIF(IU:PR,"NR")</f>
        <v>0</v>
      </c>
      <c r="W27" s="3">
        <f t="shared" si="0"/>
        <v>0</v>
      </c>
      <c r="X27" s="4">
        <f t="shared" si="1"/>
        <v>0</v>
      </c>
      <c r="Y27" s="4" t="e">
        <f>SUM(AL27,AP27,AT27,AX27,BB27,BF27,BJ27,BN27,BR27,BV27,BZ27,CD27,CH27,CL27,CP27,CT27,CX27,DB27,DF27,DJ27,DN27,DR27,DV27,DZ27,ED27,EH27,EL27,EP27,ET27,EX27,FB27,FF27,FJ27,FN27,FR27,FV27,FZ27,GD27,GH27,GL27,GP27,GT27,GX27,HB27,HF27,HJ27,HN27,HR27,HV27,HZ27,ID27,IH27,IL27,IP27,IT27,IX27,JB27,JF27,JJ27,JN27,JR27,JV27,JZ27,KD27,KH27,KL27,KP27,KT27,KX27,LB27,LF27,LJ27,LN27,LR27,LV27,LZ27,MD27,#REF!,ML27,MP27,MT27,MX27,NB27,NF27,NJ27,NN27,NR27,NV27,NZ27,OD27,OH27,OL27,OP27,OT27,OX27,PB27,PF27,PJ27,PN27,PR27)</f>
        <v>#REF!</v>
      </c>
      <c r="Z27" s="4" t="e">
        <f>SUM(DB27,DF27,DJ27,DN27,DR27,DV27,DZ27,ED27,EH27,EL27,EP27,ET27,EX27,FB27,FF27,FJ27,FN27,FR27,FV27,FZ27,GD27,GH27,GL27,GP27,GT27,GX27,HB27,HF27,HJ27,HN27,HR27,HV27,HZ27,ID27,IH27,IL27,IP27,IT27,IX27,JB27,JF27,JJ27,JN27,JR27,JV27,JZ27,KD27,KH27,KL27,KP27,KT27,KX27,LB27,LF27,LJ27,LN27,LR27,LV27,LZ27,MD27,#REF!,ML27,MP27,MT27,MX27,NB27,NF27,NJ27,NN27,NR27,NV27,NZ27,OD27,OH27,OL27,OP27,OT27,OX27,PB27,PF27,PJ27,PN27,PR27)</f>
        <v>#REF!</v>
      </c>
      <c r="AA27">
        <f t="shared" si="22"/>
        <v>0</v>
      </c>
      <c r="AB27">
        <f t="shared" si="23"/>
        <v>0</v>
      </c>
      <c r="AC27">
        <f t="shared" si="24"/>
        <v>0</v>
      </c>
      <c r="AD27">
        <f t="shared" si="25"/>
        <v>0</v>
      </c>
      <c r="AE27">
        <f t="shared" si="26"/>
        <v>0</v>
      </c>
      <c r="AF27">
        <f t="shared" si="27"/>
        <v>0</v>
      </c>
      <c r="AG27">
        <f t="shared" si="2"/>
        <v>0</v>
      </c>
      <c r="AH27" t="e">
        <f>SUM(IX27,JB27,JF27,JJ27,JN27,JR27,JV27,JZ27,KD27,KH27,KL27,KP27,KT27,KX27,LB27,LF27,LJ27,LN27,LR27,LV27,LZ27,MD27,#REF!,ML27,MP27,MT27,MX27,NB27,NF27,NJ27,NN27,NR27,NV27,NZ27,OD27,OH27,OL27,OP27,OT27,OX27,PB27,PF27,PJ27,PN27,PR27)</f>
        <v>#REF!</v>
      </c>
      <c r="AI27">
        <v>45</v>
      </c>
      <c r="AJ27" t="s">
        <v>145</v>
      </c>
      <c r="AM27">
        <v>45</v>
      </c>
      <c r="AN27" t="s">
        <v>146</v>
      </c>
      <c r="PS27" s="3">
        <f t="shared" si="28"/>
        <v>0</v>
      </c>
      <c r="PT27" s="3">
        <f t="shared" si="29"/>
        <v>0</v>
      </c>
      <c r="PU27" s="3">
        <f t="shared" si="30"/>
        <v>0</v>
      </c>
      <c r="PV27">
        <f>COUNTIF(IU:PR,"HG")</f>
        <v>0</v>
      </c>
      <c r="PW27">
        <f t="shared" si="31"/>
        <v>2</v>
      </c>
    </row>
    <row r="28" spans="1:439" x14ac:dyDescent="0.2">
      <c r="A28" t="s">
        <v>143</v>
      </c>
      <c r="B28">
        <f t="shared" si="32"/>
        <v>120</v>
      </c>
      <c r="C28">
        <f t="shared" si="3"/>
        <v>0</v>
      </c>
      <c r="D28">
        <f t="shared" si="4"/>
        <v>0</v>
      </c>
      <c r="E28">
        <f t="shared" si="5"/>
        <v>0</v>
      </c>
      <c r="F28">
        <f t="shared" si="6"/>
        <v>120</v>
      </c>
      <c r="G28">
        <f t="shared" si="7"/>
        <v>3</v>
      </c>
      <c r="H28" s="3">
        <f t="shared" si="8"/>
        <v>1</v>
      </c>
      <c r="I28" s="3">
        <f t="shared" si="9"/>
        <v>2</v>
      </c>
      <c r="J28" s="3">
        <f t="shared" si="10"/>
        <v>0</v>
      </c>
      <c r="K28">
        <f t="shared" si="11"/>
        <v>0</v>
      </c>
      <c r="L28" s="3">
        <f t="shared" si="12"/>
        <v>0</v>
      </c>
      <c r="M28" s="3">
        <f t="shared" si="13"/>
        <v>0</v>
      </c>
      <c r="N28" s="3">
        <f t="shared" si="14"/>
        <v>0</v>
      </c>
      <c r="O28">
        <f t="shared" si="15"/>
        <v>0</v>
      </c>
      <c r="P28" s="3">
        <f t="shared" si="16"/>
        <v>0</v>
      </c>
      <c r="Q28" s="3">
        <f t="shared" si="17"/>
        <v>0</v>
      </c>
      <c r="R28" s="3">
        <f t="shared" si="18"/>
        <v>0</v>
      </c>
      <c r="S28">
        <f t="shared" si="19"/>
        <v>0</v>
      </c>
      <c r="T28" s="3">
        <f t="shared" si="20"/>
        <v>0</v>
      </c>
      <c r="U28" s="3">
        <f t="shared" si="21"/>
        <v>0</v>
      </c>
      <c r="V28" s="3">
        <f>COUNTIF(IU:PR,"NR")</f>
        <v>0</v>
      </c>
      <c r="W28" s="3">
        <f t="shared" si="0"/>
        <v>0</v>
      </c>
      <c r="X28" s="4">
        <f t="shared" si="1"/>
        <v>0</v>
      </c>
      <c r="Y28" s="4" t="e">
        <f>SUM(AL28,AP28,AT28,AX28,BB28,BF28,BJ28,BN28,BR28,BV28,BZ28,CD28,CH28,CL28,CP28,CT28,CX28,DB28,DF28,DJ28,DN28,DR28,DV28,DZ28,ED28,EH28,EL28,EP28,ET28,EX28,FB28,FF28,FJ28,FN28,FR28,FV28,FZ28,GD28,GH28,GL28,GP28,GT28,GX28,HB28,HF28,HJ28,HN28,HR28,HV28,HZ28,ID28,IH28,IL28,IP28,IT28,IX28,JB28,JF28,JJ28,JN28,JR28,JV28,JZ28,KD28,KH28,KL28,KP28,KT28,KX28,LB28,LF28,LJ28,LN28,LR28,LV28,LZ28,MD28,#REF!,ML28,MP28,MT28,MX28,NB28,NF28,NJ28,NN28,NR28,NV28,NZ28,OD28,OH28,OL28,OP28,OT28,OX28,PB28,PF28,PJ28,PN28,PR28)</f>
        <v>#REF!</v>
      </c>
      <c r="Z28" s="4" t="e">
        <f>SUM(DB28,DF28,DJ28,DN28,DR28,DV28,DZ28,ED28,EH28,EL28,EP28,ET28,EX28,FB28,FF28,FJ28,FN28,FR28,FV28,FZ28,GD28,GH28,GL28,GP28,GT28,GX28,HB28,HF28,HJ28,HN28,HR28,HV28,HZ28,ID28,IH28,IL28,IP28,IT28,IX28,JB28,JF28,JJ28,JN28,JR28,JV28,JZ28,KD28,KH28,KL28,KP28,KT28,KX28,LB28,LF28,LJ28,LN28,LR28,LV28,LZ28,MD28,#REF!,ML28,MP28,MT28,MX28,NB28,NF28,NJ28,NN28,NR28,NV28,NZ28,OD28,OH28,OL28,OP28,OT28,OX28,PB28,PF28,PJ28,PN28,PR28)</f>
        <v>#REF!</v>
      </c>
      <c r="AA28">
        <f t="shared" si="22"/>
        <v>0</v>
      </c>
      <c r="AB28">
        <f t="shared" si="23"/>
        <v>0</v>
      </c>
      <c r="AC28">
        <f t="shared" si="24"/>
        <v>0</v>
      </c>
      <c r="AD28">
        <f t="shared" si="25"/>
        <v>0</v>
      </c>
      <c r="AE28">
        <f t="shared" si="26"/>
        <v>0</v>
      </c>
      <c r="AF28">
        <f t="shared" si="27"/>
        <v>0</v>
      </c>
      <c r="AG28">
        <f t="shared" si="2"/>
        <v>0</v>
      </c>
      <c r="AH28" t="e">
        <f>SUM(IX28,JB28,JF28,JJ28,JN28,JR28,JV28,JZ28,KD28,KH28,KL28,KP28,KT28,KX28,LB28,LF28,LJ28,LN28,LR28,LV28,LZ28,MD28,#REF!,ML28,MP28,MT28,MX28,NB28,NF28,NJ28,NN28,NR28,NV28,NZ28,OD28,OH28,OL28,OP28,OT28,OX28,PB28,PF28,PJ28,PN28,PR28)</f>
        <v>#REF!</v>
      </c>
      <c r="AI28">
        <v>45</v>
      </c>
      <c r="AJ28" t="s">
        <v>145</v>
      </c>
      <c r="AM28">
        <v>45</v>
      </c>
      <c r="AN28" t="s">
        <v>146</v>
      </c>
      <c r="AQ28">
        <v>30</v>
      </c>
      <c r="AR28" t="s">
        <v>146</v>
      </c>
      <c r="PS28" s="3">
        <f t="shared" si="28"/>
        <v>0</v>
      </c>
      <c r="PT28" s="3">
        <f t="shared" si="29"/>
        <v>0</v>
      </c>
      <c r="PU28" s="3">
        <f t="shared" si="30"/>
        <v>0</v>
      </c>
      <c r="PV28">
        <f>COUNTIF(IU:PR,"HG")</f>
        <v>0</v>
      </c>
      <c r="PW28">
        <f t="shared" si="31"/>
        <v>3</v>
      </c>
    </row>
    <row r="29" spans="1:439" x14ac:dyDescent="0.2">
      <c r="A29" t="s">
        <v>144</v>
      </c>
      <c r="B29">
        <f t="shared" ref="B29" si="56">SUM(AI29,AM29,AQ29,AU29,AY29,BC29,BG29,BK29,BO29,BS29,BW29,CA29,CE29,CI29,CM29,CQ29,CU29,CY29,DC29,DG29,DK29,DO29,DS29,DW29,EA29,EE29,EI29,EM29,EQ29,EU29,EY29,FC29,FG29,FK29,FO29,FS29,FW29,GA29,GE29,GI29,GM29,GQ29,GU29,GY29,HC29,HG29,HK29,HO29,HS29,HW29,IA29,IE29,II29,IM29,IQ29,IU29,IY29,JC29,JG29,JK29,JO29,JS29,JW29,KA29,KE29,KI29,KM29,KQ29,KU29,KY29,LC29,LG29,LK29,LO29,LS29,LW29,MA29,ME29,MI29,MM29,MQ29,MU29,MY29,NC29,NG29,NK29,NO29,NS29,NW29,OA29,OE29,OI29,OM29,OQ29,OU29,OY29,PC29,PG29,PK29,PO29)</f>
        <v>120</v>
      </c>
      <c r="C29">
        <f t="shared" ref="C29" si="57">SUM(CY29,DC29,DG29,DK29,DO29,DS29,DW29,EA29,EE29,EI29,EM29,EQ29,EU29,EY29,FC29,FG29,FK29,FO29,FS29,FW29,GA29,GE29,GI29,GM29,GQ29,GU29)</f>
        <v>0</v>
      </c>
      <c r="D29">
        <f t="shared" ref="D29" si="58">SUM(GY29,HC29,HG29,HK29,HO29,HS29,HW29,IA29,IE29,II29,IM29,IQ29)</f>
        <v>0</v>
      </c>
      <c r="E29">
        <f t="shared" ref="E29" si="59">SUM(IU29,IY29,JC29,JG29,JK29,JO29,JS29,JW29,KA29,KE29,KI29,KM29,KQ29,KU29,KY29,LC29,LG29,LK29,LO29,LS29,LW29,MA29,ME29,MI29,MM29,MQ29,MU29,MY29,NC29,NG29,NK29,NO29,NS29,NW29,OA29,OE29,OI29,OM29,OQ29,OU29,OY29,PC29,PG29,PK29,PO29)</f>
        <v>0</v>
      </c>
      <c r="F29">
        <f t="shared" si="6"/>
        <v>120</v>
      </c>
      <c r="G29">
        <f t="shared" ref="G29" si="60">SUM(H29:I29)</f>
        <v>3</v>
      </c>
      <c r="H29" s="3">
        <f t="shared" ref="H29" si="61">COUNTIF(AI29:PR29,"T")</f>
        <v>1</v>
      </c>
      <c r="I29" s="3">
        <f t="shared" ref="I29" si="62">COUNTIF(AI29:PR29,"R")</f>
        <v>2</v>
      </c>
      <c r="J29" s="3">
        <f t="shared" ref="J29" si="63">COUNTIF(AI29:PR29,"NR")</f>
        <v>0</v>
      </c>
      <c r="K29">
        <f t="shared" ref="K29" si="64">SUM(L29:M29)</f>
        <v>0</v>
      </c>
      <c r="L29" s="3">
        <f t="shared" ref="L29" si="65">COUNTIF(CY29:GX29,"T")</f>
        <v>0</v>
      </c>
      <c r="M29" s="3">
        <f t="shared" ref="M29" si="66">COUNTIF(CY29:GX29,"R")</f>
        <v>0</v>
      </c>
      <c r="N29" s="3">
        <f t="shared" ref="N29" si="67">COUNTIF(CY29:GX29,"NR")</f>
        <v>0</v>
      </c>
      <c r="O29">
        <f t="shared" ref="O29" si="68">SUM(P29:Q29)</f>
        <v>0</v>
      </c>
      <c r="P29" s="3">
        <f t="shared" ref="P29" si="69">COUNTIF(GY29:IT29,"T")</f>
        <v>0</v>
      </c>
      <c r="Q29" s="3">
        <f t="shared" ref="Q29" si="70">COUNTIF(GY29:IT29,"R")</f>
        <v>0</v>
      </c>
      <c r="R29" s="3">
        <f t="shared" ref="R29" si="71">COUNTIF(GY29:IT29,"NR")</f>
        <v>0</v>
      </c>
      <c r="S29">
        <f t="shared" ref="S29" si="72">SUM(T29:U29)</f>
        <v>0</v>
      </c>
      <c r="T29" s="3">
        <f t="shared" ref="T29" si="73">COUNTIF(IU29:PR29,"T")</f>
        <v>0</v>
      </c>
      <c r="U29" s="3">
        <f t="shared" ref="U29" si="74">COUNTIF(IU29:PR29,"R")</f>
        <v>0</v>
      </c>
      <c r="V29" s="3">
        <f>COUNTIF(IU:PR,"NR")</f>
        <v>0</v>
      </c>
      <c r="W29" s="3">
        <f t="shared" si="0"/>
        <v>0</v>
      </c>
      <c r="X29" s="4">
        <f t="shared" si="1"/>
        <v>0</v>
      </c>
      <c r="Y29" s="4" t="e">
        <f>SUM(AL29,AP29,AT29,AX29,BB29,BF29,BJ29,BN29,BR29,BV29,BZ29,CD29,CH29,CL29,CP29,CT29,CX29,DB29,DF29,DJ29,DN29,DR29,DV29,DZ29,ED29,EH29,EL29,EP29,ET29,EX29,FB29,FF29,FJ29,FN29,FR29,FV29,FZ29,GD29,GH29,GL29,GP29,GT29,GX29,HB29,HF29,HJ29,HN29,HR29,HV29,HZ29,ID29,IH29,IL29,IP29,IT29,IX29,JB29,JF29,JJ29,JN29,JR29,JV29,JZ29,KD29,KH29,KL29,KP29,KT29,KX29,LB29,LF29,LJ29,LN29,LR29,LV29,LZ29,MD29,#REF!,ML29,MP29,MT29,MX29,NB29,NF29,NJ29,NN29,NR29,NV29,NZ29,OD29,OH29,OL29,OP29,OT29,OX29,PB29,PF29,PJ29,PN29,PR29)</f>
        <v>#REF!</v>
      </c>
      <c r="Z29" s="4" t="e">
        <f>SUM(DB29,DF29,DJ29,DN29,DR29,DV29,DZ29,ED29,EH29,EL29,EP29,ET29,EX29,FB29,FF29,FJ29,FN29,FR29,FV29,FZ29,GD29,GH29,GL29,GP29,GT29,GX29,HB29,HF29,HJ29,HN29,HR29,HV29,HZ29,ID29,IH29,IL29,IP29,IT29,IX29,JB29,JF29,JJ29,JN29,JR29,JV29,JZ29,KD29,KH29,KL29,KP29,KT29,KX29,LB29,LF29,LJ29,LN29,LR29,LV29,LZ29,MD29,#REF!,ML29,MP29,MT29,MX29,NB29,NF29,NJ29,NN29,NR29,NV29,NZ29,OD29,OH29,OL29,OP29,OT29,OX29,PB29,PF29,PJ29,PN29,PR29)</f>
        <v>#REF!</v>
      </c>
      <c r="AA29">
        <f t="shared" ref="AA29" si="75">SUM(DA29,DE29,DI29,DM29,DQ29,DU29,DY29,EC29,EG29,EK29,EO29,ES29,EW29,FA29,FE29,FI29,FM29,FQ29,FU29,FY29,GC29,GG29,GK29,GO29,GS29,GW29)</f>
        <v>0</v>
      </c>
      <c r="AB29">
        <f t="shared" ref="AB29" si="76">SUM(DB29,DF29,DJ29,DN29,DR29,DV29,DZ29,ED29,EH29,EL29,EP29,ET29,EX29,FB29,FF29,FJ29,FN29,FR29,FV29,FZ29,GD29,GH29,GL29,GP29,GT29,GX29)</f>
        <v>0</v>
      </c>
      <c r="AC29">
        <f t="shared" ref="AC29" si="77">SUM(HA29,HE29,HI29,HM29,HQ29,HU29,HY29,IC29,IG29,IK29,IO29,IS29)</f>
        <v>0</v>
      </c>
      <c r="AD29">
        <f t="shared" ref="AD29" si="78">SUM(HB29,HF29,HJ29,HN29,HR29,HV29,HZ29,ID29,IH29,IL29,IP29,IT29)</f>
        <v>0</v>
      </c>
      <c r="AE29">
        <f t="shared" ref="AE29" si="79">SUM(AK29,AO29,AS29,AW29,BA29,BE29,BI29,BM29,BQ29,BU29,BY29,CC29,CG29,CK29,CO29,CS29,CW29)</f>
        <v>0</v>
      </c>
      <c r="AF29">
        <f t="shared" ref="AF29" si="80">SUM(AL29,AP29,AT29,AX29,BB29,BF29,BJ29,BN29,BR29,BV29,BZ29,CD29,CH29,CL29,CP29,CT29,CX29)</f>
        <v>0</v>
      </c>
      <c r="AG29">
        <f t="shared" si="2"/>
        <v>0</v>
      </c>
      <c r="AH29" t="e">
        <f>SUM(IX29,JB29,JF29,JJ29,JN29,JR29,JV29,JZ29,KD29,KH29,KL29,KP29,KT29,KX29,LB29,LF29,LJ29,LN29,LR29,LV29,LZ29,MD29,#REF!,ML29,MP29,MT29,MX29,NB29,NF29,NJ29,NN29,NR29,NV29,NZ29,OD29,OH29,OL29,OP29,OT29,OX29,PB29,PF29,PJ29,PN29,PR29)</f>
        <v>#REF!</v>
      </c>
      <c r="AI29">
        <v>45</v>
      </c>
      <c r="AJ29" t="s">
        <v>145</v>
      </c>
      <c r="AM29">
        <v>45</v>
      </c>
      <c r="AN29" t="s">
        <v>146</v>
      </c>
      <c r="AQ29">
        <v>30</v>
      </c>
      <c r="AR29" t="s">
        <v>146</v>
      </c>
      <c r="PS29" s="3">
        <f t="shared" ref="PS29" si="81">COUNTIF(AI29:PR29,"HG")</f>
        <v>0</v>
      </c>
      <c r="PT29" s="3">
        <f t="shared" ref="PT29" si="82">COUNTIF(CY29:GX29,"HG")</f>
        <v>0</v>
      </c>
      <c r="PU29" s="3">
        <f t="shared" ref="PU29" si="83">COUNTIF(GY29:IT29,"HG")</f>
        <v>0</v>
      </c>
      <c r="PV29">
        <f>COUNTIF(IU:PR,"HG")</f>
        <v>0</v>
      </c>
      <c r="PW29">
        <f t="shared" ref="PW29" si="84">G29-(K29+O29+S29)</f>
        <v>3</v>
      </c>
    </row>
    <row r="30" spans="1:439" x14ac:dyDescent="0.2">
      <c r="B30">
        <f t="shared" ref="B30" si="85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0</v>
      </c>
      <c r="C30">
        <f t="shared" ref="C30" si="86">SUM(CY30,DC30,DG30,DK30,DO30,DS30,DW30,EA30,EE30,EI30,EM30,EQ30,EU30,EY30,FC30,FG30,FK30,FO30,FS30,FW30,GA30,GE30,GI30,GM30,GQ30,GU30)</f>
        <v>0</v>
      </c>
      <c r="D30">
        <f t="shared" ref="D30" si="87">SUM(GY30,HC30,HG30,HK30,HO30,HS30,HW30,IA30,IE30,II30,IM30,IQ30)</f>
        <v>0</v>
      </c>
      <c r="E30">
        <f t="shared" ref="E30" si="88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ref="F30" si="89">SUM(AI30,AM30,AQ30,AU30,AY30,BC30,BG30,BK30,BO30,BS30,BW30,CA30,CE30,CI30,CM30,CQ30,CU30)</f>
        <v>0</v>
      </c>
      <c r="G30">
        <f t="shared" ref="G30" si="90">SUM(H30:I30)</f>
        <v>0</v>
      </c>
      <c r="H30" s="3">
        <f t="shared" ref="H30" si="91">COUNTIF(AI30:PR30,"T")</f>
        <v>0</v>
      </c>
      <c r="I30" s="3">
        <f t="shared" ref="I30" si="92">COUNTIF(AI30:PR30,"R")</f>
        <v>0</v>
      </c>
      <c r="J30" s="3">
        <f t="shared" ref="J30" si="93">COUNTIF(AI30:PR30,"NR")</f>
        <v>0</v>
      </c>
      <c r="K30">
        <f t="shared" ref="K30" si="94">SUM(L30:M30)</f>
        <v>0</v>
      </c>
      <c r="L30" s="3">
        <f t="shared" ref="L30" si="95">COUNTIF(CY30:GX30,"T")</f>
        <v>0</v>
      </c>
      <c r="M30" s="3">
        <f t="shared" ref="M30" si="96">COUNTIF(CY30:GX30,"R")</f>
        <v>0</v>
      </c>
      <c r="N30" s="3">
        <f t="shared" ref="N30" si="97">COUNTIF(CY30:GX30,"NR")</f>
        <v>0</v>
      </c>
      <c r="O30">
        <f t="shared" ref="O30" si="98">SUM(P30:Q30)</f>
        <v>0</v>
      </c>
      <c r="P30" s="3">
        <f t="shared" ref="P30" si="99">COUNTIF(GY30:IT30,"T")</f>
        <v>0</v>
      </c>
      <c r="Q30" s="3">
        <f t="shared" ref="Q30" si="100">COUNTIF(GY30:IT30,"R")</f>
        <v>0</v>
      </c>
      <c r="R30" s="3">
        <f t="shared" ref="R30" si="101">COUNTIF(GY30:IT30,"NR")</f>
        <v>0</v>
      </c>
      <c r="S30">
        <f t="shared" ref="S30" si="102">SUM(T30:U30)</f>
        <v>0</v>
      </c>
      <c r="T30" s="3">
        <f t="shared" ref="T30" si="103">COUNTIF(IU30:PR30,"T")</f>
        <v>0</v>
      </c>
      <c r="U30" s="3">
        <f t="shared" ref="U30" si="104">COUNTIF(IU30:PR30,"R")</f>
        <v>0</v>
      </c>
      <c r="V30" s="3">
        <f>COUNTIF(IU:PR,"NR")</f>
        <v>0</v>
      </c>
      <c r="W30" s="3">
        <f t="shared" si="0"/>
        <v>0</v>
      </c>
      <c r="X30" s="4">
        <f t="shared" si="1"/>
        <v>0</v>
      </c>
      <c r="Y30" s="4" t="e">
        <f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#REF!,ML30,MP30,MT30,MX30,NB30,NF30,NJ30,NN30,NR30,NV30,NZ30,OD30,OH30,OL30,OP30,OT30,OX30,PB30,PF30,PJ30,PN30,PR30)</f>
        <v>#REF!</v>
      </c>
      <c r="Z30" s="4" t="e">
        <f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#REF!,ML30,MP30,MT30,MX30,NB30,NF30,NJ30,NN30,NR30,NV30,NZ30,OD30,OH30,OL30,OP30,OT30,OX30,PB30,PF30,PJ30,PN30,PR30)</f>
        <v>#REF!</v>
      </c>
      <c r="AA30">
        <f t="shared" ref="AA30" si="105">SUM(DA30,DE30,DI30,DM30,DQ30,DU30,DY30,EC30,EG30,EK30,EO30,ES30,EW30,FA30,FE30,FI30,FM30,FQ30,FU30,FY30,GC30,GG30,GK30,GO30,GS30,GW30)</f>
        <v>0</v>
      </c>
      <c r="AB30">
        <f t="shared" ref="AB30" si="106">SUM(DB30,DF30,DJ30,DN30,DR30,DV30,DZ30,ED30,EH30,EL30,EP30,ET30,EX30,FB30,FF30,FJ30,FN30,FR30,FV30,FZ30,GD30,GH30,GL30,GP30,GT30,GX30)</f>
        <v>0</v>
      </c>
      <c r="AC30">
        <f t="shared" ref="AC30" si="107">SUM(HA30,HE30,HI30,HM30,HQ30,HU30,HY30,IC30,IG30,IK30,IO30,IS30)</f>
        <v>0</v>
      </c>
      <c r="AD30">
        <f t="shared" ref="AD30" si="108">SUM(HB30,HF30,HJ30,HN30,HR30,HV30,HZ30,ID30,IH30,IL30,IP30,IT30)</f>
        <v>0</v>
      </c>
      <c r="AE30">
        <f t="shared" ref="AE30" si="109">SUM(AK30,AO30,AS30,AW30,BA30,BE30,BI30,BM30,BQ30,BU30,BY30,CC30,CG30,CK30,CO30,CS30,CW30)</f>
        <v>0</v>
      </c>
      <c r="AF30">
        <f t="shared" ref="AF30" si="110">SUM(AL30,AP30,AT30,AX30,BB30,BF30,BJ30,BN30,BR30,BV30,BZ30,CD30,CH30,CL30,CP30,CT30,CX30)</f>
        <v>0</v>
      </c>
      <c r="AG30">
        <f t="shared" si="2"/>
        <v>0</v>
      </c>
      <c r="AH30" t="e">
        <f>SUM(IX30,JB30,JF30,JJ30,JN30,JR30,JV30,JZ30,KD30,KH30,KL30,KP30,KT30,KX30,LB30,LF30,LJ30,LN30,LR30,LV30,LZ30,MD30,#REF!,ML30,MP30,MT30,MX30,NB30,NF30,NJ30,NN30,NR30,NV30,NZ30,OD30,OH30,OL30,OP30,OT30,OX30,PB30,PF30,PJ30,PN30,PR30)</f>
        <v>#REF!</v>
      </c>
      <c r="PS30" s="3">
        <f t="shared" ref="PS30" si="111">COUNTIF(AI30:PR30,"HG")</f>
        <v>0</v>
      </c>
      <c r="PT30" s="3">
        <f t="shared" ref="PT30" si="112">COUNTIF(CY30:GX30,"HG")</f>
        <v>0</v>
      </c>
      <c r="PU30" s="3">
        <f t="shared" ref="PU30" si="113">COUNTIF(GY30:IT30,"HG")</f>
        <v>0</v>
      </c>
      <c r="PV30">
        <f>COUNTIF(IU:PR,"HG")</f>
        <v>0</v>
      </c>
      <c r="PW30">
        <f t="shared" ref="PW30" si="114">G30-(K30+O30+S30)</f>
        <v>0</v>
      </c>
    </row>
    <row r="31" spans="1:439" x14ac:dyDescent="0.2">
      <c r="B31">
        <f t="shared" ref="B31" si="115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0</v>
      </c>
      <c r="C31">
        <f t="shared" ref="C31" si="116">SUM(CY31,DC31,DG31,DK31,DO31,DS31,DW31,EA31,EE31,EI31,EM31,EQ31,EU31,EY31,FC31,FG31,FK31,FO31,FS31,FW31,GA31,GE31,GI31,GM31,GQ31,GU31)</f>
        <v>0</v>
      </c>
      <c r="D31">
        <f t="shared" ref="D31" si="117">SUM(GY31,HC31,HG31,HK31,HO31,HS31,HW31,IA31,IE31,II31,IM31,IQ31)</f>
        <v>0</v>
      </c>
      <c r="E31">
        <f t="shared" ref="E31" si="118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19">SUM(AI31,AM31,AQ31,AU31,AY31,BC31,BG31,BK31,BO31,BS31,BW31,CA31,CE31,CI31,CM31,CQ31,CU31)</f>
        <v>0</v>
      </c>
      <c r="G31">
        <f t="shared" ref="G31" si="120">SUM(H31:I31)</f>
        <v>0</v>
      </c>
      <c r="H31" s="3">
        <f t="shared" ref="H31" si="121">COUNTIF(AI31:PR31,"T")</f>
        <v>0</v>
      </c>
      <c r="I31" s="3">
        <f t="shared" ref="I31" si="122">COUNTIF(AI31:PR31,"R")</f>
        <v>0</v>
      </c>
      <c r="J31" s="3">
        <f t="shared" ref="J31" si="123">COUNTIF(AI31:PR31,"NR")</f>
        <v>0</v>
      </c>
      <c r="K31">
        <f t="shared" ref="K31" si="124">SUM(L31:M31)</f>
        <v>0</v>
      </c>
      <c r="L31" s="3">
        <f t="shared" ref="L31" si="125">COUNTIF(CY31:GX31,"T")</f>
        <v>0</v>
      </c>
      <c r="M31" s="3">
        <f t="shared" ref="M31" si="126">COUNTIF(CY31:GX31,"R")</f>
        <v>0</v>
      </c>
      <c r="N31" s="3">
        <f t="shared" ref="N31" si="127">COUNTIF(CY31:GX31,"NR")</f>
        <v>0</v>
      </c>
      <c r="O31">
        <f t="shared" ref="O31" si="128">SUM(P31:Q31)</f>
        <v>0</v>
      </c>
      <c r="P31" s="3">
        <f t="shared" ref="P31" si="129">COUNTIF(GY31:IT31,"T")</f>
        <v>0</v>
      </c>
      <c r="Q31" s="3">
        <f t="shared" ref="Q31" si="130">COUNTIF(GY31:IT31,"R")</f>
        <v>0</v>
      </c>
      <c r="R31" s="3">
        <f t="shared" ref="R31" si="131">COUNTIF(GY31:IT31,"NR")</f>
        <v>0</v>
      </c>
      <c r="S31">
        <f t="shared" ref="S31" si="132">SUM(T31:U31)</f>
        <v>0</v>
      </c>
      <c r="T31" s="3">
        <f t="shared" ref="T31" si="133">COUNTIF(IU31:PR31,"T")</f>
        <v>0</v>
      </c>
      <c r="U31" s="3">
        <f t="shared" ref="U31" si="134">COUNTIF(IU31:PR31,"R")</f>
        <v>0</v>
      </c>
      <c r="V31" s="3">
        <f>COUNTIF(IU:PR,"NR")</f>
        <v>0</v>
      </c>
      <c r="W31" s="3">
        <f t="shared" si="0"/>
        <v>0</v>
      </c>
      <c r="X31" s="4">
        <f t="shared" si="1"/>
        <v>0</v>
      </c>
      <c r="Y31" s="4" t="e">
        <f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#REF!,ML31,MP31,MT31,MX31,NB31,NF31,NJ31,NN31,NR31,NV31,NZ31,OD31,OH31,OL31,OP31,OT31,OX31,PB31,PF31,PJ31,PN31,PR31)</f>
        <v>#REF!</v>
      </c>
      <c r="Z31" s="4" t="e">
        <f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#REF!,ML31,MP31,MT31,MX31,NB31,NF31,NJ31,NN31,NR31,NV31,NZ31,OD31,OH31,OL31,OP31,OT31,OX31,PB31,PF31,PJ31,PN31,PR31)</f>
        <v>#REF!</v>
      </c>
      <c r="AA31">
        <f t="shared" ref="AA31" si="135">SUM(DA31,DE31,DI31,DM31,DQ31,DU31,DY31,EC31,EG31,EK31,EO31,ES31,EW31,FA31,FE31,FI31,FM31,FQ31,FU31,FY31,GC31,GG31,GK31,GO31,GS31,GW31)</f>
        <v>0</v>
      </c>
      <c r="AB31">
        <f t="shared" ref="AB31" si="136">SUM(DB31,DF31,DJ31,DN31,DR31,DV31,DZ31,ED31,EH31,EL31,EP31,ET31,EX31,FB31,FF31,FJ31,FN31,FR31,FV31,FZ31,GD31,GH31,GL31,GP31,GT31,GX31)</f>
        <v>0</v>
      </c>
      <c r="AC31">
        <f t="shared" ref="AC31" si="137">SUM(HA31,HE31,HI31,HM31,HQ31,HU31,HY31,IC31,IG31,IK31,IO31,IS31)</f>
        <v>0</v>
      </c>
      <c r="AD31">
        <f t="shared" ref="AD31" si="138">SUM(HB31,HF31,HJ31,HN31,HR31,HV31,HZ31,ID31,IH31,IL31,IP31,IT31)</f>
        <v>0</v>
      </c>
      <c r="AE31">
        <f t="shared" ref="AE31" si="139">SUM(AK31,AO31,AS31,AW31,BA31,BE31,BI31,BM31,BQ31,BU31,BY31,CC31,CG31,CK31,CO31,CS31,CW31)</f>
        <v>0</v>
      </c>
      <c r="AF31">
        <f t="shared" ref="AF31" si="140">SUM(AL31,AP31,AT31,AX31,BB31,BF31,BJ31,BN31,BR31,BV31,BZ31,CD31,CH31,CL31,CP31,CT31,CX31)</f>
        <v>0</v>
      </c>
      <c r="AG31">
        <f t="shared" si="2"/>
        <v>0</v>
      </c>
      <c r="AH31" t="e">
        <f>SUM(IX31,JB31,JF31,JJ31,JN31,JR31,JV31,JZ31,KD31,KH31,KL31,KP31,KT31,KX31,LB31,LF31,LJ31,LN31,LR31,LV31,LZ31,MD31,#REF!,ML31,MP31,MT31,MX31,NB31,NF31,NJ31,NN31,NR31,NV31,NZ31,OD31,OH31,OL31,OP31,OT31,OX31,PB31,PF31,PJ31,PN31,PR31)</f>
        <v>#REF!</v>
      </c>
      <c r="PS31" s="3">
        <f t="shared" ref="PS31" si="141">COUNTIF(AI31:PR31,"HG")</f>
        <v>0</v>
      </c>
      <c r="PT31" s="3">
        <f t="shared" ref="PT31" si="142">COUNTIF(CY31:GX31,"HG")</f>
        <v>0</v>
      </c>
      <c r="PU31" s="3">
        <f t="shared" ref="PU31" si="143">COUNTIF(GY31:IT31,"HG")</f>
        <v>0</v>
      </c>
      <c r="PV31">
        <f>COUNTIF(IU:PR,"HG")</f>
        <v>0</v>
      </c>
      <c r="PW31">
        <f t="shared" ref="PW31" si="144">G31-(K31+O31+S31)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2026-08-04T14:41:06Z</dcterms:modified>
</cp:coreProperties>
</file>