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BE9FE6AE-AEDF-E94E-BAE5-4829A1FCF8C6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<sst xmlns="http://schemas.openxmlformats.org/spreadsheetml/2006/main" count="1522" uniqueCount="152">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</sst>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P1" activePane="topRight" state="frozen"/>
      <selection pane="topRight" activeCell="GX18" sqref="GX1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2445</v>
      </c>
      <c r="C2">
        <f>SUM(CY2,DC2,DG2,DK2,DO2,DS2,DW2,EA2,EE2,EI2,EM2,EQ2,EU2,EY2,FC2,FG2,FK2,FO2,FS2,FW2,GA2,GE2,GI2,GM2,GQ2,GU2)</f>
        <v>2160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29</v>
      </c>
      <c r="H2" s="3">
        <f>COUNTIF(AI2:PR2,"T")</f>
        <v>29</v>
      </c>
      <c r="I2" s="3">
        <f>COUNTIF(AI2:PR2,"R")</f>
        <v>0</v>
      </c>
      <c r="J2" s="3">
        <f>COUNTIF(AI2:PR2,"NR")</f>
        <v>6</v>
      </c>
      <c r="K2">
        <f>SUM(L2:M2)</f>
        <v>24</v>
      </c>
      <c r="L2" s="3">
        <f>COUNTIF(CY2:GX2,"T")</f>
        <v>24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1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GI2">
        <v>90</v>
      </c>
      <c r="GJ2" t="s">
        <v>110</v>
      </c>
      <c r="GL2">
        <v>1</v>
      </c>
      <c r="GM2">
        <v>90</v>
      </c>
      <c r="GN2" t="s">
        <v>110</v>
      </c>
      <c r="GQ2">
        <v>90</v>
      </c>
      <c r="GR2" t="s">
        <v>110</v>
      </c>
      <c r="GU2">
        <v>90</v>
      </c>
      <c r="GV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810</v>
      </c>
      <c r="F3">
        <f t="shared" ref="F3:F30" si="5">SUM(AI3,AM3,AQ3,AU3,AY3,BC3,BG3,BK3,BO3,BS3,BW3,CA3,CE3,CI3,CM3,CQ3,CU3)</f>
        <v>90</v>
      </c>
      <c r="G3">
        <f t="shared" ref="G3:G29" si="6">SUM(H3:I3)</f>
        <v>11</v>
      </c>
      <c r="H3" s="3">
        <f t="shared" ref="H3:H29" si="7">COUNTIF(AI3:PR3,"T")</f>
        <v>9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9</v>
      </c>
      <c r="T3" s="3">
        <f t="shared" ref="T3:T29" si="19">COUNTIF(IU3:PR3,"T")</f>
        <v>9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GJ3" t="s">
        <v>139</v>
      </c>
      <c r="GN3" t="s">
        <v>139</v>
      </c>
      <c r="GR3" t="s">
        <v>139</v>
      </c>
      <c r="GV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LG3">
        <v>90</v>
      </c>
      <c r="LH3" t="s">
        <v>110</v>
      </c>
      <c r="ME3">
        <v>90</v>
      </c>
      <c r="MF3" t="s">
        <v>110</v>
      </c>
      <c r="PS3" s="3">
        <f t="shared" ref="PS3:PS29" si="33">COUNTIF(AI3:PR3,"HG")</f>
        <v>32</v>
      </c>
      <c r="PT3" s="3">
        <f t="shared" ref="PT3:PT29" si="34">COUNTIF(CY3:GX3,"HG")</f>
        <v>26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15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15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J4" t="s">
        <v>138</v>
      </c>
      <c r="GN4" t="s">
        <v>138</v>
      </c>
      <c r="GR4" t="s">
        <v>138</v>
      </c>
      <c r="GV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1919</v>
      </c>
      <c r="C5">
        <f t="shared" si="2"/>
        <v>1309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28</v>
      </c>
      <c r="H5" s="3">
        <f t="shared" si="7"/>
        <v>23</v>
      </c>
      <c r="I5" s="3">
        <f t="shared" si="8"/>
        <v>5</v>
      </c>
      <c r="J5" s="3">
        <f t="shared" si="9"/>
        <v>0</v>
      </c>
      <c r="K5">
        <f t="shared" si="10"/>
        <v>18</v>
      </c>
      <c r="L5" s="3">
        <f t="shared" si="11"/>
        <v>15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1</v>
      </c>
      <c r="Z5" s="4">
        <f t="shared" si="24"/>
        <v>1</v>
      </c>
      <c r="AA5">
        <f t="shared" si="25"/>
        <v>1</v>
      </c>
      <c r="AB5">
        <f t="shared" si="26"/>
        <v>1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GI5">
        <v>90</v>
      </c>
      <c r="GJ5" t="s">
        <v>110</v>
      </c>
      <c r="GM5">
        <v>78</v>
      </c>
      <c r="GN5" t="s">
        <v>110</v>
      </c>
      <c r="GP5">
        <v>1</v>
      </c>
      <c r="GR5" t="s">
        <v>139</v>
      </c>
      <c r="GV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11</v>
      </c>
      <c r="PT5" s="3">
        <f t="shared" si="34"/>
        <v>8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GJ6" t="s">
        <v>139</v>
      </c>
      <c r="GN6" t="s">
        <v>139</v>
      </c>
      <c r="GR6" t="s">
        <v>139</v>
      </c>
      <c r="GV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32</v>
      </c>
      <c r="PT6" s="3">
        <f t="shared" si="34"/>
        <v>25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2613</v>
      </c>
      <c r="C7">
        <f t="shared" si="2"/>
        <v>1768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32</v>
      </c>
      <c r="H7" s="3">
        <f t="shared" si="7"/>
        <v>31</v>
      </c>
      <c r="I7" s="3">
        <f t="shared" si="8"/>
        <v>1</v>
      </c>
      <c r="J7" s="3">
        <f t="shared" si="9"/>
        <v>0</v>
      </c>
      <c r="K7">
        <f t="shared" si="10"/>
        <v>21</v>
      </c>
      <c r="L7" s="3">
        <f t="shared" si="11"/>
        <v>21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I7">
        <v>90</v>
      </c>
      <c r="GJ7" t="s">
        <v>110</v>
      </c>
      <c r="GM7">
        <v>90</v>
      </c>
      <c r="GN7" t="s">
        <v>110</v>
      </c>
      <c r="GQ7">
        <v>90</v>
      </c>
      <c r="GR7" t="s">
        <v>110</v>
      </c>
      <c r="GU7">
        <v>45</v>
      </c>
      <c r="GV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J8" t="s">
        <v>139</v>
      </c>
      <c r="GN8" t="s">
        <v>139</v>
      </c>
      <c r="GR8" t="s">
        <v>139</v>
      </c>
      <c r="GV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28</v>
      </c>
      <c r="PT8" s="3">
        <f t="shared" si="34"/>
        <v>24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2812</v>
      </c>
      <c r="C9">
        <f t="shared" si="2"/>
        <v>2056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37</v>
      </c>
      <c r="H9" s="3">
        <f t="shared" si="7"/>
        <v>31</v>
      </c>
      <c r="I9" s="3">
        <f t="shared" si="8"/>
        <v>6</v>
      </c>
      <c r="J9" s="3">
        <f t="shared" si="9"/>
        <v>0</v>
      </c>
      <c r="K9">
        <f t="shared" si="10"/>
        <v>25</v>
      </c>
      <c r="L9" s="3">
        <f t="shared" si="11"/>
        <v>22</v>
      </c>
      <c r="M9" s="3">
        <f t="shared" si="12"/>
        <v>3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1</v>
      </c>
      <c r="X9" s="4">
        <f t="shared" si="22"/>
        <v>1</v>
      </c>
      <c r="Y9" s="4">
        <f t="shared" si="23"/>
        <v>4</v>
      </c>
      <c r="Z9" s="4">
        <f t="shared" si="24"/>
        <v>3</v>
      </c>
      <c r="AA9">
        <f t="shared" si="25"/>
        <v>1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GI9">
        <v>90</v>
      </c>
      <c r="GJ9" t="s">
        <v>110</v>
      </c>
      <c r="GM9">
        <v>45</v>
      </c>
      <c r="GN9" t="s">
        <v>136</v>
      </c>
      <c r="GO9">
        <v>1</v>
      </c>
      <c r="GQ9">
        <v>90</v>
      </c>
      <c r="GR9" t="s">
        <v>110</v>
      </c>
      <c r="GU9">
        <v>90</v>
      </c>
      <c r="GV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2013</v>
      </c>
      <c r="C10">
        <f t="shared" si="2"/>
        <v>1413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29</v>
      </c>
      <c r="H10" s="3">
        <f t="shared" si="7"/>
        <v>21</v>
      </c>
      <c r="I10" s="3">
        <f t="shared" si="8"/>
        <v>8</v>
      </c>
      <c r="J10" s="3">
        <f t="shared" si="9"/>
        <v>3</v>
      </c>
      <c r="K10">
        <f t="shared" si="10"/>
        <v>18</v>
      </c>
      <c r="L10" s="3">
        <f t="shared" si="11"/>
        <v>16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GI10">
        <v>90</v>
      </c>
      <c r="GJ10" t="s">
        <v>110</v>
      </c>
      <c r="GM10">
        <v>74</v>
      </c>
      <c r="GN10" t="s">
        <v>110</v>
      </c>
      <c r="GQ10">
        <v>85</v>
      </c>
      <c r="GR10" t="s">
        <v>110</v>
      </c>
      <c r="GU10">
        <v>90</v>
      </c>
      <c r="GV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1313</v>
      </c>
      <c r="C11">
        <f t="shared" si="2"/>
        <v>395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28</v>
      </c>
      <c r="H11" s="3">
        <f t="shared" si="7"/>
        <v>18</v>
      </c>
      <c r="I11" s="3">
        <f t="shared" si="8"/>
        <v>10</v>
      </c>
      <c r="J11" s="3">
        <f t="shared" si="9"/>
        <v>3</v>
      </c>
      <c r="K11">
        <f t="shared" si="10"/>
        <v>13</v>
      </c>
      <c r="L11" s="3">
        <f t="shared" si="11"/>
        <v>4</v>
      </c>
      <c r="M11" s="3">
        <f t="shared" si="12"/>
        <v>9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I11">
        <v>1</v>
      </c>
      <c r="GJ11" t="s">
        <v>136</v>
      </c>
      <c r="GM11">
        <v>16</v>
      </c>
      <c r="GN11" t="s">
        <v>136</v>
      </c>
      <c r="GQ11">
        <v>5</v>
      </c>
      <c r="GR11" t="s">
        <v>136</v>
      </c>
      <c r="GU11">
        <v>45</v>
      </c>
      <c r="GV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GJ13" t="s">
        <v>139</v>
      </c>
      <c r="GN13" t="s">
        <v>139</v>
      </c>
      <c r="GR13" t="s">
        <v>139</v>
      </c>
      <c r="GV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31</v>
      </c>
      <c r="PT13" s="3">
        <f t="shared" si="34"/>
        <v>24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2360</v>
      </c>
      <c r="C14">
        <f t="shared" si="2"/>
        <v>1262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40</v>
      </c>
      <c r="H14" s="3">
        <f t="shared" si="7"/>
        <v>25</v>
      </c>
      <c r="I14" s="3">
        <f t="shared" si="8"/>
        <v>15</v>
      </c>
      <c r="J14" s="3">
        <f t="shared" si="9"/>
        <v>2</v>
      </c>
      <c r="K14">
        <f t="shared" si="10"/>
        <v>23</v>
      </c>
      <c r="L14" s="3">
        <f t="shared" si="11"/>
        <v>14</v>
      </c>
      <c r="M14" s="3">
        <f t="shared" si="12"/>
        <v>9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5</v>
      </c>
      <c r="X14" s="4">
        <f t="shared" si="22"/>
        <v>5</v>
      </c>
      <c r="Y14" s="4">
        <f t="shared" si="23"/>
        <v>5</v>
      </c>
      <c r="Z14" s="4">
        <f t="shared" si="24"/>
        <v>5</v>
      </c>
      <c r="AA14">
        <f t="shared" si="25"/>
        <v>4</v>
      </c>
      <c r="AB14">
        <f t="shared" si="26"/>
        <v>4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I14">
        <v>89</v>
      </c>
      <c r="GJ14" t="s">
        <v>110</v>
      </c>
      <c r="GK14">
        <v>1</v>
      </c>
      <c r="GL14">
        <v>1</v>
      </c>
      <c r="GM14">
        <v>90</v>
      </c>
      <c r="GN14" t="s">
        <v>110</v>
      </c>
      <c r="GQ14">
        <v>45</v>
      </c>
      <c r="GR14" t="s">
        <v>110</v>
      </c>
      <c r="GU14">
        <v>15</v>
      </c>
      <c r="GV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1814</v>
      </c>
      <c r="C15">
        <f t="shared" si="2"/>
        <v>1077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38</v>
      </c>
      <c r="H15" s="3">
        <f t="shared" si="7"/>
        <v>22</v>
      </c>
      <c r="I15" s="3">
        <f t="shared" si="8"/>
        <v>16</v>
      </c>
      <c r="J15" s="3">
        <f t="shared" si="9"/>
        <v>0</v>
      </c>
      <c r="K15">
        <f t="shared" si="10"/>
        <v>24</v>
      </c>
      <c r="L15" s="3">
        <f t="shared" si="11"/>
        <v>12</v>
      </c>
      <c r="M15" s="3">
        <f t="shared" si="12"/>
        <v>12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6</v>
      </c>
      <c r="X15" s="4">
        <f t="shared" si="22"/>
        <v>4</v>
      </c>
      <c r="Y15" s="4">
        <f t="shared" si="23"/>
        <v>4</v>
      </c>
      <c r="Z15" s="4">
        <f t="shared" si="24"/>
        <v>4</v>
      </c>
      <c r="AA15">
        <f t="shared" si="25"/>
        <v>4</v>
      </c>
      <c r="AB15">
        <f t="shared" si="26"/>
        <v>3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I15">
        <v>22</v>
      </c>
      <c r="GJ15" t="s">
        <v>136</v>
      </c>
      <c r="GL15">
        <v>1</v>
      </c>
      <c r="GM15">
        <v>90</v>
      </c>
      <c r="GN15" t="s">
        <v>110</v>
      </c>
      <c r="GO15">
        <v>1</v>
      </c>
      <c r="GP15">
        <v>1</v>
      </c>
      <c r="GQ15">
        <v>90</v>
      </c>
      <c r="GR15" t="s">
        <v>110</v>
      </c>
      <c r="GU15">
        <v>61</v>
      </c>
      <c r="GV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1818</v>
      </c>
      <c r="C18">
        <f t="shared" si="2"/>
        <v>1184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35</v>
      </c>
      <c r="H18" s="3">
        <f t="shared" si="7"/>
        <v>22</v>
      </c>
      <c r="I18" s="3">
        <f t="shared" si="8"/>
        <v>13</v>
      </c>
      <c r="J18" s="3">
        <f t="shared" si="9"/>
        <v>0</v>
      </c>
      <c r="K18">
        <f t="shared" si="10"/>
        <v>21</v>
      </c>
      <c r="L18" s="3">
        <f t="shared" si="11"/>
        <v>14</v>
      </c>
      <c r="M18" s="3">
        <f t="shared" si="12"/>
        <v>7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7</v>
      </c>
      <c r="X18" s="4">
        <f t="shared" si="22"/>
        <v>7</v>
      </c>
      <c r="Y18" s="4">
        <f t="shared" si="23"/>
        <v>5</v>
      </c>
      <c r="Z18" s="4">
        <f t="shared" si="24"/>
        <v>2</v>
      </c>
      <c r="AA18">
        <f t="shared" si="25"/>
        <v>7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I18">
        <v>68</v>
      </c>
      <c r="GJ18" t="s">
        <v>110</v>
      </c>
      <c r="GM18">
        <v>90</v>
      </c>
      <c r="GN18" t="s">
        <v>110</v>
      </c>
      <c r="GQ18">
        <v>45</v>
      </c>
      <c r="GR18" t="s">
        <v>136</v>
      </c>
      <c r="GS18">
        <v>1</v>
      </c>
      <c r="GU18">
        <v>67</v>
      </c>
      <c r="GV18" t="s">
        <v>110</v>
      </c>
      <c r="GW18">
        <v>2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1353</v>
      </c>
      <c r="C19">
        <f t="shared" si="2"/>
        <v>567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31</v>
      </c>
      <c r="H19" s="3">
        <f t="shared" si="7"/>
        <v>13</v>
      </c>
      <c r="I19" s="3">
        <f t="shared" si="8"/>
        <v>18</v>
      </c>
      <c r="J19" s="3">
        <f t="shared" si="9"/>
        <v>2</v>
      </c>
      <c r="K19">
        <f t="shared" si="10"/>
        <v>16</v>
      </c>
      <c r="L19" s="3">
        <f t="shared" si="11"/>
        <v>5</v>
      </c>
      <c r="M19" s="3">
        <f t="shared" si="12"/>
        <v>11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1</v>
      </c>
      <c r="X19" s="4">
        <f t="shared" si="22"/>
        <v>1</v>
      </c>
      <c r="Y19" s="4">
        <f t="shared" si="23"/>
        <v>1</v>
      </c>
      <c r="Z19" s="4">
        <f t="shared" si="24"/>
        <v>1</v>
      </c>
      <c r="AA19">
        <f t="shared" si="25"/>
        <v>1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I19">
        <v>68</v>
      </c>
      <c r="GJ19" t="s">
        <v>110</v>
      </c>
      <c r="GM19">
        <v>45</v>
      </c>
      <c r="GN19" t="s">
        <v>110</v>
      </c>
      <c r="GQ19">
        <v>8</v>
      </c>
      <c r="GR19" t="s">
        <v>136</v>
      </c>
      <c r="GS19">
        <v>1</v>
      </c>
      <c r="GU19">
        <v>23</v>
      </c>
      <c r="GV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J20" t="s">
        <v>139</v>
      </c>
      <c r="GN20" t="s">
        <v>139</v>
      </c>
      <c r="GR20" t="s">
        <v>139</v>
      </c>
      <c r="GV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6</v>
      </c>
      <c r="PT20" s="3">
        <f t="shared" si="34"/>
        <v>6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2926</v>
      </c>
      <c r="C22">
        <f t="shared" si="2"/>
        <v>1907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36</v>
      </c>
      <c r="H22" s="3">
        <f t="shared" si="7"/>
        <v>36</v>
      </c>
      <c r="I22" s="3">
        <f t="shared" si="8"/>
        <v>0</v>
      </c>
      <c r="J22" s="3">
        <f t="shared" si="9"/>
        <v>0</v>
      </c>
      <c r="K22">
        <f t="shared" si="10"/>
        <v>22</v>
      </c>
      <c r="L22" s="3">
        <f t="shared" si="11"/>
        <v>22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6</v>
      </c>
      <c r="Z22" s="4">
        <f t="shared" si="24"/>
        <v>6</v>
      </c>
      <c r="AA22">
        <f t="shared" si="25"/>
        <v>2</v>
      </c>
      <c r="AB22">
        <f t="shared" si="26"/>
        <v>5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J22" t="s">
        <v>139</v>
      </c>
      <c r="GN22" t="s">
        <v>139</v>
      </c>
      <c r="GR22" t="s">
        <v>139</v>
      </c>
      <c r="GU22">
        <v>75</v>
      </c>
      <c r="GV22" t="s">
        <v>110</v>
      </c>
      <c r="GX22">
        <v>1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4</v>
      </c>
      <c r="PT22" s="3">
        <f t="shared" si="34"/>
        <v>4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2672</v>
      </c>
      <c r="C24">
        <f t="shared" si="2"/>
        <v>1980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34</v>
      </c>
      <c r="H24" s="3">
        <f t="shared" si="7"/>
        <v>31</v>
      </c>
      <c r="I24" s="3">
        <f t="shared" si="8"/>
        <v>3</v>
      </c>
      <c r="J24" s="3">
        <f t="shared" si="9"/>
        <v>1</v>
      </c>
      <c r="K24">
        <f t="shared" si="10"/>
        <v>23</v>
      </c>
      <c r="L24" s="3">
        <f t="shared" si="11"/>
        <v>23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I24">
        <v>90</v>
      </c>
      <c r="GJ24" t="s">
        <v>110</v>
      </c>
      <c r="GM24">
        <v>45</v>
      </c>
      <c r="GN24" t="s">
        <v>110</v>
      </c>
      <c r="GQ24">
        <v>90</v>
      </c>
      <c r="GR24" t="s">
        <v>110</v>
      </c>
      <c r="GU24">
        <v>90</v>
      </c>
      <c r="GV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1148</v>
      </c>
      <c r="C26">
        <f t="shared" si="2"/>
        <v>92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26</v>
      </c>
      <c r="H26" s="3">
        <f t="shared" si="7"/>
        <v>12</v>
      </c>
      <c r="I26" s="3">
        <f t="shared" si="8"/>
        <v>14</v>
      </c>
      <c r="J26" s="3">
        <f t="shared" si="9"/>
        <v>1</v>
      </c>
      <c r="K26">
        <f t="shared" si="10"/>
        <v>8</v>
      </c>
      <c r="L26" s="3">
        <f t="shared" si="11"/>
        <v>1</v>
      </c>
      <c r="M26" s="3">
        <f t="shared" si="12"/>
        <v>7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1</v>
      </c>
      <c r="Z26" s="4">
        <f t="shared" si="24"/>
        <v>1</v>
      </c>
      <c r="AA26">
        <f t="shared" si="25"/>
        <v>1</v>
      </c>
      <c r="AB26">
        <f t="shared" si="26"/>
        <v>1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I26">
        <v>9</v>
      </c>
      <c r="GJ26" t="s">
        <v>136</v>
      </c>
      <c r="GM26">
        <v>12</v>
      </c>
      <c r="GN26" t="s">
        <v>136</v>
      </c>
      <c r="GQ26">
        <v>1</v>
      </c>
      <c r="GR26" t="s">
        <v>136</v>
      </c>
      <c r="GT26">
        <v>1</v>
      </c>
      <c r="GV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21</v>
      </c>
      <c r="PT26" s="3">
        <f t="shared" si="34"/>
        <v>18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2197</v>
      </c>
      <c r="C27">
        <f t="shared" si="2"/>
        <v>1702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25</v>
      </c>
      <c r="H27" s="3">
        <f t="shared" si="7"/>
        <v>25</v>
      </c>
      <c r="I27" s="3">
        <f t="shared" si="8"/>
        <v>0</v>
      </c>
      <c r="J27" s="3">
        <f t="shared" si="9"/>
        <v>1</v>
      </c>
      <c r="K27">
        <f t="shared" si="10"/>
        <v>19</v>
      </c>
      <c r="L27" s="3">
        <f t="shared" si="11"/>
        <v>19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GJ27" t="s">
        <v>139</v>
      </c>
      <c r="GM27">
        <v>90</v>
      </c>
      <c r="GN27" t="s">
        <v>110</v>
      </c>
      <c r="GQ27">
        <v>90</v>
      </c>
      <c r="GR27" t="s">
        <v>110</v>
      </c>
      <c r="GU27">
        <v>90</v>
      </c>
      <c r="GV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5</v>
      </c>
      <c r="PT27" s="3">
        <f t="shared" si="34"/>
        <v>4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V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7</v>
      </c>
      <c r="PT28" s="3">
        <f t="shared" si="34"/>
        <v>5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1456</v>
      </c>
      <c r="C29">
        <f t="shared" si="2"/>
        <v>1216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23</v>
      </c>
      <c r="H29" s="3">
        <f t="shared" si="7"/>
        <v>17</v>
      </c>
      <c r="I29" s="3">
        <f t="shared" si="8"/>
        <v>6</v>
      </c>
      <c r="J29" s="3">
        <f t="shared" si="9"/>
        <v>2</v>
      </c>
      <c r="K29">
        <f t="shared" si="10"/>
        <v>19</v>
      </c>
      <c r="L29" s="3">
        <f t="shared" si="11"/>
        <v>15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GI29">
        <v>90</v>
      </c>
      <c r="GJ29" t="s">
        <v>110</v>
      </c>
      <c r="GM29">
        <v>90</v>
      </c>
      <c r="GN29" t="s">
        <v>110</v>
      </c>
      <c r="GQ29">
        <v>90</v>
      </c>
      <c r="GR29" t="s">
        <v>110</v>
      </c>
      <c r="GU29">
        <v>90</v>
      </c>
      <c r="GV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GJ30" t="s">
        <v>139</v>
      </c>
      <c r="GN30" t="s">
        <v>139</v>
      </c>
      <c r="GR30" t="s">
        <v>139</v>
      </c>
      <c r="GV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8</v>
      </c>
      <c r="PT30" s="3">
        <f t="shared" ref="PT30" si="100">COUNTIF(CY30:GX30,"HG")</f>
        <v>8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950</v>
      </c>
      <c r="C31">
        <f t="shared" ref="C31" si="105">SUM(CY31,DC31,DG31,DK31,DO31,DS31,DW31,EA31,EE31,EI31,EM31,EQ31,EU31,EY31,FC31,FG31,FK31,FO31,FS31,FW31,GA31,GE31,GI31,GM31,GQ31,GU31)</f>
        <v>950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11</v>
      </c>
      <c r="H31" s="3">
        <f t="shared" ref="H31" si="110">COUNTIF(AI31:PR31,"T")</f>
        <v>11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11</v>
      </c>
      <c r="L31" s="3">
        <f t="shared" ref="L31" si="114">COUNTIF(CY31:GX31,"T")</f>
        <v>11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12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12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5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5</v>
      </c>
      <c r="AA31">
        <f t="shared" ref="AA31" si="129">SUM(DA31,DE31,DI31,DM31,DQ31,DU31,DY31,EC31,EG31,EK31,EO31,ES31,EW31,FA31,FE31,FI31,FM31,FQ31,FU31,FY31,GC31,GG31,GK31,GO31,GS31,GW31)</f>
        <v>12</v>
      </c>
      <c r="AB31">
        <f t="shared" ref="AB31" si="130">SUM(DB31,DF31,DJ31,DN31,DR31,DV31,DZ31,ED31,EH31,EL31,EP31,ET31,EX31,FB31,FF31,FJ31,FN31,FR31,FV31,FZ31,GD31,GH31,GL31,GP31,GT31,GX31)</f>
        <v>5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GI31">
        <v>81</v>
      </c>
      <c r="GJ31" t="s">
        <v>110</v>
      </c>
      <c r="GK31">
        <v>1</v>
      </c>
      <c r="GL31">
        <v>1</v>
      </c>
      <c r="GN31" t="s">
        <v>139</v>
      </c>
      <c r="GQ31">
        <v>89</v>
      </c>
      <c r="GR31" t="s">
        <v>110</v>
      </c>
      <c r="GS31">
        <v>2</v>
      </c>
      <c r="GT31">
        <v>1</v>
      </c>
      <c r="GU31">
        <v>90</v>
      </c>
      <c r="GV31" t="s">
        <v>110</v>
      </c>
      <c r="GW31">
        <v>1</v>
      </c>
      <c r="GX31">
        <v>1</v>
      </c>
      <c r="PS31" s="3">
        <f t="shared" ref="PS31" si="137">COUNTIF(AI31:PR31,"HG")</f>
        <v>3</v>
      </c>
      <c r="PT31" s="3">
        <f t="shared" ref="PT31" si="138">COUNTIF(CY31:GX31,"HG")</f>
        <v>3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633</v>
      </c>
      <c r="C32">
        <f t="shared" ref="C32" si="143">SUM(CY32,DC32,DG32,DK32,DO32,DS32,DW32,EA32,EE32,EI32,EM32,EQ32,EU32,EY32,FC32,FG32,FK32,FO32,FS32,FW32,GA32,GE32,GI32,GM32,GQ32,GU32)</f>
        <v>453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14</v>
      </c>
      <c r="H32" s="3">
        <f t="shared" ref="H32" si="148">COUNTIF(AI32:PR32,"T")</f>
        <v>5</v>
      </c>
      <c r="I32" s="3">
        <f t="shared" ref="I32" si="149">COUNTIF(AI32:PR32,"R")</f>
        <v>9</v>
      </c>
      <c r="J32" s="3">
        <f t="shared" ref="J32" si="150">COUNTIF(AI32:PR32,"NR")</f>
        <v>0</v>
      </c>
      <c r="K32">
        <f t="shared" ref="K32" si="151">SUM(L32:M32)</f>
        <v>12</v>
      </c>
      <c r="L32" s="3">
        <f t="shared" ref="L32" si="152">COUNTIF(CY32:GX32,"T")</f>
        <v>3</v>
      </c>
      <c r="M32" s="3">
        <f t="shared" ref="M32" si="153">COUNTIF(CY32:GX32,"R")</f>
        <v>9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3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GI32">
        <v>22</v>
      </c>
      <c r="GJ32" t="s">
        <v>136</v>
      </c>
      <c r="GK32">
        <v>2</v>
      </c>
      <c r="GM32">
        <v>45</v>
      </c>
      <c r="GN32" t="s">
        <v>136</v>
      </c>
      <c r="GQ32">
        <v>82</v>
      </c>
      <c r="GR32" t="s">
        <v>110</v>
      </c>
      <c r="GU32">
        <v>29</v>
      </c>
      <c r="GV32" t="s">
        <v>136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2026-05-18T17:46:07Z</dcterms:modified>
</cp:coreProperties>
</file>