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18A7ABFB-CDC4-1843-B93A-B48F163359DF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<sst xmlns="http://schemas.openxmlformats.org/spreadsheetml/2006/main" count="3357" uniqueCount="49">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</sst>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EH32"/>
  <sheetViews>
    <sheetView tabSelected="1" workbookViewId="0">
      <pane xSplit="1" topLeftCell="EC1" activePane="topRight" state="frozen"/>
      <selection pane="topRight" activeCell="EK9" sqref="EK9"/>
    </sheetView>
  </sheetViews>
  <sheetFormatPr baseColWidth="10" defaultRowHeight="16" x14ac:dyDescent="0.2"/>
  <cols>
    <col min="1" max="1" width="17.1640625" customWidth="1"/>
  </cols>
  <sheetData>
    <row r="1" spans="1:138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  <c r="DK1" s="3">
        <v>46057</v>
      </c>
      <c r="DL1" s="3">
        <v>46058</v>
      </c>
      <c r="DM1" s="3">
        <v>46059</v>
      </c>
      <c r="DN1" s="3">
        <v>46063</v>
      </c>
      <c r="DO1" s="3">
        <v>46064</v>
      </c>
      <c r="DP1" s="3">
        <v>46065</v>
      </c>
      <c r="DQ1" s="3">
        <v>46066</v>
      </c>
      <c r="DR1" s="3">
        <v>46070</v>
      </c>
      <c r="DS1" s="3">
        <v>46071</v>
      </c>
      <c r="DT1" s="3">
        <v>46072</v>
      </c>
      <c r="DU1" s="3">
        <v>46073</v>
      </c>
      <c r="DV1" s="3">
        <v>46076</v>
      </c>
      <c r="DW1" s="3">
        <v>46077</v>
      </c>
      <c r="DX1" s="3">
        <v>46078</v>
      </c>
      <c r="DY1" s="3">
        <v>46079</v>
      </c>
      <c r="DZ1" s="3">
        <v>46084</v>
      </c>
      <c r="EA1" s="3">
        <v>46085</v>
      </c>
      <c r="EB1" s="3">
        <v>46087</v>
      </c>
      <c r="EC1" s="3">
        <v>46091</v>
      </c>
      <c r="ED1" s="3">
        <v>46092</v>
      </c>
      <c r="EE1" s="3">
        <v>46093</v>
      </c>
      <c r="EF1" s="3">
        <v>46097</v>
      </c>
      <c r="EG1" s="3">
        <v>46098</v>
      </c>
      <c r="EH1" s="3">
        <v>46099</v>
      </c>
    </row>
    <row r="2" spans="1:138" x14ac:dyDescent="0.2">
      <c r="A2" s="2" t="s">
        <v>9</v>
      </c>
      <c r="B2" s="4">
        <f>COUNTA(K2:VR2)</f>
        <v>128</v>
      </c>
      <c r="C2" s="4">
        <f>COUNTIF(K2:VR2,"P")</f>
        <v>124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  <c r="DK2" s="4" t="s">
        <v>7</v>
      </c>
      <c r="DL2" s="4" t="s">
        <v>7</v>
      </c>
      <c r="DM2" s="4" t="s">
        <v>7</v>
      </c>
      <c r="DN2" s="4" t="s">
        <v>7</v>
      </c>
      <c r="DO2" s="4" t="s">
        <v>7</v>
      </c>
      <c r="DP2" s="4" t="s">
        <v>7</v>
      </c>
      <c r="DQ2" s="4" t="s">
        <v>7</v>
      </c>
      <c r="DR2" s="4" t="s">
        <v>7</v>
      </c>
      <c r="DS2" s="4" t="s">
        <v>7</v>
      </c>
      <c r="DT2" s="4" t="s">
        <v>7</v>
      </c>
      <c r="DU2" s="4" t="s">
        <v>7</v>
      </c>
      <c r="DV2" s="4" t="s">
        <v>7</v>
      </c>
      <c r="DW2" s="4" t="s">
        <v>7</v>
      </c>
      <c r="DX2" s="4" t="s">
        <v>7</v>
      </c>
      <c r="DY2" s="4" t="s">
        <v>7</v>
      </c>
      <c r="DZ2" s="4" t="s">
        <v>7</v>
      </c>
      <c r="EA2" s="4" t="s">
        <v>7</v>
      </c>
      <c r="EB2" s="4" t="s">
        <v>7</v>
      </c>
      <c r="EC2" s="4" t="s">
        <v>7</v>
      </c>
      <c r="ED2" s="4" t="s">
        <v>7</v>
      </c>
      <c r="EE2" s="4" t="s">
        <v>7</v>
      </c>
      <c r="EF2" s="4" t="s">
        <v>7</v>
      </c>
      <c r="EG2" s="4" t="s">
        <v>7</v>
      </c>
      <c r="EH2" s="4" t="s">
        <v>7</v>
      </c>
    </row>
    <row r="3" spans="1:138" x14ac:dyDescent="0.2">
      <c r="A3" s="2" t="s">
        <v>10</v>
      </c>
      <c r="B3" s="4">
        <f t="shared" ref="B3:B21" si="2">COUNTA(K3:VR3)</f>
        <v>128</v>
      </c>
      <c r="C3" s="4">
        <f t="shared" ref="C3:C21" si="3">COUNTIF(K3:VR3,"P")</f>
        <v>105</v>
      </c>
      <c r="D3" s="6">
        <f t="shared" ref="D3:D26" si="4">COUNTIF(K3:VR3,"REP")</f>
        <v>0</v>
      </c>
      <c r="E3" s="4">
        <f t="shared" si="0"/>
        <v>1</v>
      </c>
      <c r="F3" s="4">
        <f t="shared" si="1"/>
        <v>2</v>
      </c>
      <c r="G3" s="4">
        <f t="shared" ref="G3:G26" si="5">COUNTIF(K3:VU3,"M")</f>
        <v>4</v>
      </c>
      <c r="H3" s="4">
        <f t="shared" ref="H3:H26" si="6">COUNTIF(K3:VV3,"R")</f>
        <v>16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  <c r="DK3" s="4" t="s">
        <v>7</v>
      </c>
      <c r="DL3" s="4" t="s">
        <v>7</v>
      </c>
      <c r="DM3" s="4" t="s">
        <v>40</v>
      </c>
      <c r="DN3" s="4" t="s">
        <v>7</v>
      </c>
      <c r="DO3" s="4" t="s">
        <v>7</v>
      </c>
      <c r="DP3" s="4" t="s">
        <v>38</v>
      </c>
      <c r="DQ3" s="4" t="s">
        <v>38</v>
      </c>
      <c r="DR3" s="4" t="s">
        <v>7</v>
      </c>
      <c r="DS3" s="4" t="s">
        <v>7</v>
      </c>
      <c r="DT3" s="4" t="s">
        <v>7</v>
      </c>
      <c r="DU3" s="4" t="s">
        <v>7</v>
      </c>
      <c r="DV3" s="4" t="s">
        <v>7</v>
      </c>
      <c r="DW3" s="4" t="s">
        <v>7</v>
      </c>
      <c r="DX3" s="4" t="s">
        <v>32</v>
      </c>
      <c r="DY3" s="4" t="s">
        <v>40</v>
      </c>
      <c r="DZ3" s="4" t="s">
        <v>7</v>
      </c>
      <c r="EA3" s="4" t="s">
        <v>7</v>
      </c>
      <c r="EB3" s="4" t="s">
        <v>40</v>
      </c>
      <c r="EC3" s="4" t="s">
        <v>7</v>
      </c>
      <c r="ED3" s="4" t="s">
        <v>7</v>
      </c>
      <c r="EE3" s="4" t="s">
        <v>7</v>
      </c>
      <c r="EF3" s="4" t="s">
        <v>7</v>
      </c>
      <c r="EG3" s="4" t="s">
        <v>7</v>
      </c>
      <c r="EH3" s="4" t="s">
        <v>7</v>
      </c>
    </row>
    <row r="4" spans="1:138" x14ac:dyDescent="0.2">
      <c r="A4" s="2" t="s">
        <v>11</v>
      </c>
      <c r="B4" s="4">
        <f t="shared" si="2"/>
        <v>128</v>
      </c>
      <c r="C4" s="4">
        <f t="shared" si="3"/>
        <v>126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  <c r="DK4" s="4" t="s">
        <v>7</v>
      </c>
      <c r="DL4" s="4" t="s">
        <v>7</v>
      </c>
      <c r="DM4" s="4" t="s">
        <v>7</v>
      </c>
      <c r="DN4" s="4" t="s">
        <v>7</v>
      </c>
      <c r="DO4" s="4" t="s">
        <v>7</v>
      </c>
      <c r="DP4" s="4" t="s">
        <v>7</v>
      </c>
      <c r="DQ4" s="4" t="s">
        <v>7</v>
      </c>
      <c r="DR4" s="4" t="s">
        <v>7</v>
      </c>
      <c r="DS4" s="4" t="s">
        <v>7</v>
      </c>
      <c r="DT4" s="4" t="s">
        <v>7</v>
      </c>
      <c r="DU4" s="4" t="s">
        <v>7</v>
      </c>
      <c r="DV4" s="4" t="s">
        <v>7</v>
      </c>
      <c r="DW4" s="4" t="s">
        <v>7</v>
      </c>
      <c r="DX4" s="4" t="s">
        <v>7</v>
      </c>
      <c r="DY4" s="4" t="s">
        <v>7</v>
      </c>
      <c r="DZ4" s="4" t="s">
        <v>7</v>
      </c>
      <c r="EA4" s="4" t="s">
        <v>7</v>
      </c>
      <c r="EB4" s="4" t="s">
        <v>7</v>
      </c>
      <c r="EC4" s="4" t="s">
        <v>7</v>
      </c>
      <c r="ED4" s="4" t="s">
        <v>7</v>
      </c>
      <c r="EE4" s="4" t="s">
        <v>7</v>
      </c>
      <c r="EF4" s="4" t="s">
        <v>7</v>
      </c>
      <c r="EG4" s="4" t="s">
        <v>7</v>
      </c>
      <c r="EH4" s="4" t="s">
        <v>7</v>
      </c>
    </row>
    <row r="5" spans="1:138" x14ac:dyDescent="0.2">
      <c r="A5" s="2" t="s">
        <v>12</v>
      </c>
      <c r="B5" s="4">
        <f t="shared" si="2"/>
        <v>128</v>
      </c>
      <c r="C5" s="4">
        <f t="shared" si="3"/>
        <v>95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  <c r="DK5" s="4" t="s">
        <v>7</v>
      </c>
      <c r="DL5" s="4" t="s">
        <v>7</v>
      </c>
      <c r="DM5" s="4" t="s">
        <v>7</v>
      </c>
      <c r="DN5" s="4" t="s">
        <v>7</v>
      </c>
      <c r="DO5" s="4" t="s">
        <v>7</v>
      </c>
      <c r="DP5" s="4" t="s">
        <v>7</v>
      </c>
      <c r="DQ5" s="4" t="s">
        <v>7</v>
      </c>
      <c r="DR5" s="4" t="s">
        <v>7</v>
      </c>
      <c r="DS5" s="4" t="s">
        <v>7</v>
      </c>
      <c r="DT5" s="4" t="s">
        <v>7</v>
      </c>
      <c r="DU5" s="4" t="s">
        <v>7</v>
      </c>
      <c r="DV5" s="4" t="s">
        <v>7</v>
      </c>
      <c r="DW5" s="4" t="s">
        <v>7</v>
      </c>
      <c r="DX5" s="4" t="s">
        <v>7</v>
      </c>
      <c r="DY5" s="4" t="s">
        <v>7</v>
      </c>
      <c r="DZ5" s="4" t="s">
        <v>7</v>
      </c>
      <c r="EA5" s="4" t="s">
        <v>7</v>
      </c>
      <c r="EB5" s="4" t="s">
        <v>7</v>
      </c>
      <c r="EC5" s="4" t="s">
        <v>7</v>
      </c>
      <c r="ED5" s="4" t="s">
        <v>7</v>
      </c>
      <c r="EE5" s="4" t="s">
        <v>7</v>
      </c>
      <c r="EF5" s="4" t="s">
        <v>7</v>
      </c>
      <c r="EG5" s="4" t="s">
        <v>7</v>
      </c>
      <c r="EH5" s="4" t="s">
        <v>7</v>
      </c>
    </row>
    <row r="6" spans="1:138" x14ac:dyDescent="0.2">
      <c r="A6" s="2" t="s">
        <v>13</v>
      </c>
      <c r="B6" s="4">
        <f t="shared" si="2"/>
        <v>128</v>
      </c>
      <c r="C6" s="4">
        <f t="shared" si="3"/>
        <v>57</v>
      </c>
      <c r="D6" s="6">
        <f t="shared" si="4"/>
        <v>1</v>
      </c>
      <c r="E6" s="4">
        <f t="shared" si="0"/>
        <v>9</v>
      </c>
      <c r="F6" s="4">
        <f>COUNTIF(K6:VT6,"B")</f>
        <v>43</v>
      </c>
      <c r="G6" s="4">
        <f t="shared" si="5"/>
        <v>4</v>
      </c>
      <c r="H6" s="4">
        <f t="shared" si="6"/>
        <v>5</v>
      </c>
      <c r="I6" s="4">
        <f t="shared" si="7"/>
        <v>9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  <c r="DK6" s="4" t="s">
        <v>35</v>
      </c>
      <c r="DL6" s="4" t="s">
        <v>35</v>
      </c>
      <c r="DM6" s="4" t="s">
        <v>35</v>
      </c>
      <c r="DN6" s="4" t="s">
        <v>35</v>
      </c>
      <c r="DO6" s="4" t="s">
        <v>35</v>
      </c>
      <c r="DP6" s="4" t="s">
        <v>35</v>
      </c>
      <c r="DQ6" s="4" t="s">
        <v>35</v>
      </c>
      <c r="DR6" s="4" t="s">
        <v>35</v>
      </c>
      <c r="DS6" s="4" t="s">
        <v>35</v>
      </c>
      <c r="DT6" s="4" t="s">
        <v>35</v>
      </c>
      <c r="DU6" s="4" t="s">
        <v>35</v>
      </c>
      <c r="DV6" s="4" t="s">
        <v>35</v>
      </c>
      <c r="DW6" s="4" t="s">
        <v>35</v>
      </c>
      <c r="DX6" s="4" t="s">
        <v>35</v>
      </c>
      <c r="DY6" s="4" t="s">
        <v>35</v>
      </c>
      <c r="DZ6" s="4" t="s">
        <v>34</v>
      </c>
      <c r="EA6" s="4" t="s">
        <v>34</v>
      </c>
      <c r="EB6" s="4" t="s">
        <v>34</v>
      </c>
      <c r="EC6" s="4" t="s">
        <v>7</v>
      </c>
      <c r="ED6" s="4" t="s">
        <v>7</v>
      </c>
      <c r="EE6" s="4" t="s">
        <v>40</v>
      </c>
      <c r="EF6" s="4" t="s">
        <v>32</v>
      </c>
      <c r="EG6" s="4" t="s">
        <v>32</v>
      </c>
      <c r="EH6" s="4" t="s">
        <v>7</v>
      </c>
    </row>
    <row r="7" spans="1:138" x14ac:dyDescent="0.2">
      <c r="A7" s="2" t="s">
        <v>14</v>
      </c>
      <c r="B7" s="4">
        <f t="shared" si="2"/>
        <v>128</v>
      </c>
      <c r="C7" s="4">
        <f t="shared" si="3"/>
        <v>110</v>
      </c>
      <c r="D7" s="6">
        <f t="shared" si="4"/>
        <v>1</v>
      </c>
      <c r="E7" s="4">
        <f>COUNTIF(K7:VS7,"A")</f>
        <v>2</v>
      </c>
      <c r="F7" s="4">
        <f t="shared" si="1"/>
        <v>13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  <c r="DK7" s="4" t="s">
        <v>7</v>
      </c>
      <c r="DL7" s="4" t="s">
        <v>7</v>
      </c>
      <c r="DM7" s="4" t="s">
        <v>7</v>
      </c>
      <c r="DN7" s="4" t="s">
        <v>7</v>
      </c>
      <c r="DO7" s="4" t="s">
        <v>7</v>
      </c>
      <c r="DP7" s="4" t="s">
        <v>7</v>
      </c>
      <c r="DQ7" s="4" t="s">
        <v>7</v>
      </c>
      <c r="DR7" s="4" t="s">
        <v>7</v>
      </c>
      <c r="DS7" s="4" t="s">
        <v>7</v>
      </c>
      <c r="DT7" s="4" t="s">
        <v>7</v>
      </c>
      <c r="DU7" s="4" t="s">
        <v>7</v>
      </c>
      <c r="DV7" s="4" t="s">
        <v>7</v>
      </c>
      <c r="DW7" s="4" t="s">
        <v>7</v>
      </c>
      <c r="DX7" s="4" t="s">
        <v>7</v>
      </c>
      <c r="DY7" s="4" t="s">
        <v>7</v>
      </c>
      <c r="DZ7" s="4" t="s">
        <v>7</v>
      </c>
      <c r="EA7" s="4" t="s">
        <v>7</v>
      </c>
      <c r="EB7" s="4" t="s">
        <v>7</v>
      </c>
      <c r="EC7" s="4" t="s">
        <v>7</v>
      </c>
      <c r="ED7" s="4" t="s">
        <v>35</v>
      </c>
      <c r="EE7" s="4" t="s">
        <v>35</v>
      </c>
      <c r="EF7" s="4" t="s">
        <v>35</v>
      </c>
      <c r="EG7" s="4" t="s">
        <v>35</v>
      </c>
      <c r="EH7" s="4" t="s">
        <v>35</v>
      </c>
    </row>
    <row r="8" spans="1:138" x14ac:dyDescent="0.2">
      <c r="A8" s="2" t="s">
        <v>15</v>
      </c>
      <c r="B8" s="4">
        <f t="shared" si="2"/>
        <v>128</v>
      </c>
      <c r="C8" s="4">
        <f t="shared" si="3"/>
        <v>85</v>
      </c>
      <c r="D8" s="6">
        <f t="shared" si="4"/>
        <v>1</v>
      </c>
      <c r="E8" s="4">
        <f t="shared" si="0"/>
        <v>0</v>
      </c>
      <c r="F8" s="4">
        <f t="shared" si="1"/>
        <v>26</v>
      </c>
      <c r="G8" s="4">
        <f t="shared" si="5"/>
        <v>1</v>
      </c>
      <c r="H8" s="4">
        <f t="shared" si="6"/>
        <v>9</v>
      </c>
      <c r="I8" s="4">
        <f t="shared" si="7"/>
        <v>6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  <c r="DK8" s="4" t="s">
        <v>7</v>
      </c>
      <c r="DL8" s="4" t="s">
        <v>7</v>
      </c>
      <c r="DM8" s="4" t="s">
        <v>7</v>
      </c>
      <c r="DN8" s="4" t="s">
        <v>7</v>
      </c>
      <c r="DO8" s="4" t="s">
        <v>38</v>
      </c>
      <c r="DP8" s="4" t="s">
        <v>7</v>
      </c>
      <c r="DQ8" s="4" t="s">
        <v>40</v>
      </c>
      <c r="DR8" s="4" t="s">
        <v>35</v>
      </c>
      <c r="DS8" s="4" t="s">
        <v>35</v>
      </c>
      <c r="DT8" s="4" t="s">
        <v>35</v>
      </c>
      <c r="DU8" s="4" t="s">
        <v>35</v>
      </c>
      <c r="DV8" s="4" t="s">
        <v>35</v>
      </c>
      <c r="DW8" s="4" t="s">
        <v>35</v>
      </c>
      <c r="DX8" s="4" t="s">
        <v>35</v>
      </c>
      <c r="DY8" s="4" t="s">
        <v>35</v>
      </c>
      <c r="DZ8" s="4" t="s">
        <v>35</v>
      </c>
      <c r="EA8" s="4" t="s">
        <v>35</v>
      </c>
      <c r="EB8" s="4" t="s">
        <v>35</v>
      </c>
      <c r="EC8" s="4" t="s">
        <v>34</v>
      </c>
      <c r="ED8" s="4" t="s">
        <v>34</v>
      </c>
      <c r="EE8" s="4" t="s">
        <v>34</v>
      </c>
      <c r="EF8" s="4" t="s">
        <v>7</v>
      </c>
      <c r="EG8" s="4" t="s">
        <v>7</v>
      </c>
      <c r="EH8" s="4" t="s">
        <v>7</v>
      </c>
    </row>
    <row r="9" spans="1:138" x14ac:dyDescent="0.2">
      <c r="A9" s="2" t="s">
        <v>16</v>
      </c>
      <c r="B9" s="4">
        <f t="shared" si="2"/>
        <v>128</v>
      </c>
      <c r="C9" s="4">
        <f t="shared" si="3"/>
        <v>122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  <c r="DK9" s="4" t="s">
        <v>7</v>
      </c>
      <c r="DL9" s="4" t="s">
        <v>7</v>
      </c>
      <c r="DM9" s="4" t="s">
        <v>7</v>
      </c>
      <c r="DN9" s="4" t="s">
        <v>7</v>
      </c>
      <c r="DO9" s="4" t="s">
        <v>7</v>
      </c>
      <c r="DP9" s="4" t="s">
        <v>7</v>
      </c>
      <c r="DQ9" s="4" t="s">
        <v>7</v>
      </c>
      <c r="DR9" s="4" t="s">
        <v>7</v>
      </c>
      <c r="DS9" s="4" t="s">
        <v>7</v>
      </c>
      <c r="DT9" s="4" t="s">
        <v>7</v>
      </c>
      <c r="DU9" s="4" t="s">
        <v>7</v>
      </c>
      <c r="DV9" s="4" t="s">
        <v>7</v>
      </c>
      <c r="DW9" s="4" t="s">
        <v>7</v>
      </c>
      <c r="DX9" s="4" t="s">
        <v>7</v>
      </c>
      <c r="DY9" s="4" t="s">
        <v>7</v>
      </c>
      <c r="DZ9" s="4" t="s">
        <v>7</v>
      </c>
      <c r="EA9" s="4" t="s">
        <v>7</v>
      </c>
      <c r="EB9" s="4" t="s">
        <v>7</v>
      </c>
      <c r="EC9" s="4" t="s">
        <v>7</v>
      </c>
      <c r="ED9" s="4" t="s">
        <v>7</v>
      </c>
      <c r="EE9" s="4" t="s">
        <v>7</v>
      </c>
      <c r="EF9" s="4" t="s">
        <v>7</v>
      </c>
      <c r="EG9" s="4" t="s">
        <v>7</v>
      </c>
      <c r="EH9" s="4" t="s">
        <v>7</v>
      </c>
    </row>
    <row r="10" spans="1:138" x14ac:dyDescent="0.2">
      <c r="A10" s="2" t="s">
        <v>17</v>
      </c>
      <c r="B10" s="4">
        <f t="shared" si="2"/>
        <v>128</v>
      </c>
      <c r="C10" s="4">
        <f t="shared" si="3"/>
        <v>109</v>
      </c>
      <c r="D10" s="6">
        <f t="shared" si="4"/>
        <v>0</v>
      </c>
      <c r="E10" s="4">
        <f t="shared" si="0"/>
        <v>0</v>
      </c>
      <c r="F10" s="4">
        <f t="shared" si="1"/>
        <v>14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  <c r="DK10" s="4" t="s">
        <v>7</v>
      </c>
      <c r="DL10" s="4" t="s">
        <v>7</v>
      </c>
      <c r="DM10" s="4" t="s">
        <v>7</v>
      </c>
      <c r="DN10" s="4" t="s">
        <v>7</v>
      </c>
      <c r="DO10" s="4" t="s">
        <v>7</v>
      </c>
      <c r="DP10" s="4" t="s">
        <v>7</v>
      </c>
      <c r="DQ10" s="4" t="s">
        <v>7</v>
      </c>
      <c r="DR10" s="4" t="s">
        <v>35</v>
      </c>
      <c r="DS10" s="4" t="s">
        <v>7</v>
      </c>
      <c r="DT10" s="4" t="s">
        <v>7</v>
      </c>
      <c r="DU10" s="4" t="s">
        <v>7</v>
      </c>
      <c r="DV10" s="4" t="s">
        <v>7</v>
      </c>
      <c r="DW10" s="4" t="s">
        <v>7</v>
      </c>
      <c r="DX10" s="4" t="s">
        <v>7</v>
      </c>
      <c r="DY10" s="4" t="s">
        <v>7</v>
      </c>
      <c r="DZ10" s="4" t="s">
        <v>7</v>
      </c>
      <c r="EA10" s="4" t="s">
        <v>7</v>
      </c>
      <c r="EB10" s="4" t="s">
        <v>7</v>
      </c>
      <c r="EC10" s="4" t="s">
        <v>7</v>
      </c>
      <c r="ED10" s="4" t="s">
        <v>7</v>
      </c>
      <c r="EE10" s="4" t="s">
        <v>7</v>
      </c>
      <c r="EF10" s="4" t="s">
        <v>7</v>
      </c>
      <c r="EG10" s="4" t="s">
        <v>7</v>
      </c>
      <c r="EH10" s="4" t="s">
        <v>7</v>
      </c>
    </row>
    <row r="11" spans="1:138" x14ac:dyDescent="0.2">
      <c r="A11" s="2" t="s">
        <v>18</v>
      </c>
      <c r="B11" s="4">
        <f t="shared" si="2"/>
        <v>128</v>
      </c>
      <c r="C11" s="4">
        <f t="shared" si="3"/>
        <v>121</v>
      </c>
      <c r="D11" s="6">
        <f t="shared" si="4"/>
        <v>1</v>
      </c>
      <c r="E11" s="4">
        <f t="shared" si="0"/>
        <v>0</v>
      </c>
      <c r="F11" s="4">
        <f t="shared" si="1"/>
        <v>5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  <c r="DK11" s="4" t="s">
        <v>7</v>
      </c>
      <c r="DL11" s="4" t="s">
        <v>7</v>
      </c>
      <c r="DM11" s="4" t="s">
        <v>7</v>
      </c>
      <c r="DN11" s="4" t="s">
        <v>7</v>
      </c>
      <c r="DO11" s="4" t="s">
        <v>7</v>
      </c>
      <c r="DP11" s="4" t="s">
        <v>7</v>
      </c>
      <c r="DQ11" s="4" t="s">
        <v>7</v>
      </c>
      <c r="DR11" s="4" t="s">
        <v>7</v>
      </c>
      <c r="DS11" s="4" t="s">
        <v>7</v>
      </c>
      <c r="DT11" s="4" t="s">
        <v>7</v>
      </c>
      <c r="DU11" s="4" t="s">
        <v>7</v>
      </c>
      <c r="DV11" s="4" t="s">
        <v>7</v>
      </c>
      <c r="DW11" s="4" t="s">
        <v>7</v>
      </c>
      <c r="DX11" s="4" t="s">
        <v>7</v>
      </c>
      <c r="DY11" s="4" t="s">
        <v>7</v>
      </c>
      <c r="DZ11" s="4" t="s">
        <v>7</v>
      </c>
      <c r="EA11" s="4" t="s">
        <v>7</v>
      </c>
      <c r="EB11" s="4" t="s">
        <v>7</v>
      </c>
      <c r="EC11" s="4" t="s">
        <v>7</v>
      </c>
      <c r="ED11" s="4" t="s">
        <v>7</v>
      </c>
      <c r="EE11" s="4" t="s">
        <v>7</v>
      </c>
      <c r="EF11" s="4" t="s">
        <v>7</v>
      </c>
      <c r="EG11" s="4" t="s">
        <v>7</v>
      </c>
      <c r="EH11" s="4" t="s">
        <v>7</v>
      </c>
    </row>
    <row r="12" spans="1:138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38" x14ac:dyDescent="0.2">
      <c r="A13" s="2" t="s">
        <v>20</v>
      </c>
      <c r="B13" s="4">
        <f t="shared" si="2"/>
        <v>128</v>
      </c>
      <c r="C13" s="4">
        <f t="shared" si="3"/>
        <v>20</v>
      </c>
      <c r="D13" s="6">
        <f t="shared" si="4"/>
        <v>2</v>
      </c>
      <c r="E13" s="4">
        <f t="shared" si="0"/>
        <v>1</v>
      </c>
      <c r="F13" s="4">
        <f t="shared" si="1"/>
        <v>84</v>
      </c>
      <c r="G13" s="4">
        <f t="shared" si="5"/>
        <v>0</v>
      </c>
      <c r="H13" s="4">
        <f t="shared" si="6"/>
        <v>0</v>
      </c>
      <c r="I13" s="4">
        <f t="shared" si="7"/>
        <v>21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  <c r="DK13" s="4" t="s">
        <v>7</v>
      </c>
      <c r="DL13" s="4" t="s">
        <v>7</v>
      </c>
      <c r="DM13" s="4" t="s">
        <v>42</v>
      </c>
      <c r="DN13" s="4" t="s">
        <v>7</v>
      </c>
      <c r="DO13" s="4" t="s">
        <v>42</v>
      </c>
      <c r="DP13" s="4" t="s">
        <v>34</v>
      </c>
      <c r="DQ13" s="4" t="s">
        <v>34</v>
      </c>
      <c r="DR13" s="4" t="s">
        <v>35</v>
      </c>
      <c r="DS13" s="4" t="s">
        <v>35</v>
      </c>
      <c r="DT13" s="4" t="s">
        <v>35</v>
      </c>
      <c r="DU13" s="4" t="s">
        <v>35</v>
      </c>
      <c r="DV13" s="4" t="s">
        <v>35</v>
      </c>
      <c r="DW13" s="4" t="s">
        <v>35</v>
      </c>
      <c r="DX13" s="4" t="s">
        <v>35</v>
      </c>
      <c r="DY13" s="4" t="s">
        <v>35</v>
      </c>
      <c r="DZ13" s="4" t="s">
        <v>35</v>
      </c>
      <c r="EA13" s="4" t="s">
        <v>35</v>
      </c>
      <c r="EB13" s="4" t="s">
        <v>35</v>
      </c>
      <c r="EC13" s="4" t="s">
        <v>35</v>
      </c>
      <c r="ED13" s="4" t="s">
        <v>35</v>
      </c>
      <c r="EE13" s="4" t="s">
        <v>35</v>
      </c>
      <c r="EF13" s="4" t="s">
        <v>35</v>
      </c>
      <c r="EG13" s="4" t="s">
        <v>35</v>
      </c>
      <c r="EH13" s="4" t="s">
        <v>35</v>
      </c>
    </row>
    <row r="14" spans="1:138" x14ac:dyDescent="0.2">
      <c r="A14" s="2" t="s">
        <v>21</v>
      </c>
      <c r="B14" s="4">
        <f t="shared" si="2"/>
        <v>128</v>
      </c>
      <c r="C14" s="4">
        <f t="shared" si="3"/>
        <v>127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  <c r="DK14" s="4" t="s">
        <v>7</v>
      </c>
      <c r="DL14" s="4" t="s">
        <v>7</v>
      </c>
      <c r="DM14" s="4" t="s">
        <v>7</v>
      </c>
      <c r="DN14" s="4" t="s">
        <v>7</v>
      </c>
      <c r="DO14" s="4" t="s">
        <v>7</v>
      </c>
      <c r="DP14" s="4" t="s">
        <v>7</v>
      </c>
      <c r="DQ14" s="4" t="s">
        <v>7</v>
      </c>
      <c r="DR14" s="4" t="s">
        <v>7</v>
      </c>
      <c r="DS14" s="4" t="s">
        <v>7</v>
      </c>
      <c r="DT14" s="4" t="s">
        <v>7</v>
      </c>
      <c r="DU14" s="4" t="s">
        <v>7</v>
      </c>
      <c r="DV14" s="4" t="s">
        <v>7</v>
      </c>
      <c r="DW14" s="4" t="s">
        <v>7</v>
      </c>
      <c r="DX14" s="4" t="s">
        <v>7</v>
      </c>
      <c r="DY14" s="4" t="s">
        <v>7</v>
      </c>
      <c r="DZ14" s="4" t="s">
        <v>7</v>
      </c>
      <c r="EA14" s="4" t="s">
        <v>7</v>
      </c>
      <c r="EB14" s="4" t="s">
        <v>7</v>
      </c>
      <c r="EC14" s="4" t="s">
        <v>7</v>
      </c>
      <c r="ED14" s="4" t="s">
        <v>7</v>
      </c>
      <c r="EE14" s="4" t="s">
        <v>7</v>
      </c>
      <c r="EF14" s="4" t="s">
        <v>7</v>
      </c>
      <c r="EG14" s="4" t="s">
        <v>7</v>
      </c>
      <c r="EH14" s="4" t="s">
        <v>7</v>
      </c>
    </row>
    <row r="15" spans="1:138" x14ac:dyDescent="0.2">
      <c r="A15" s="2" t="s">
        <v>22</v>
      </c>
      <c r="B15" s="4">
        <f t="shared" si="2"/>
        <v>128</v>
      </c>
      <c r="C15" s="4">
        <f t="shared" si="3"/>
        <v>120</v>
      </c>
      <c r="D15" s="6">
        <f t="shared" si="4"/>
        <v>0</v>
      </c>
      <c r="E15" s="4">
        <f t="shared" si="0"/>
        <v>0</v>
      </c>
      <c r="F15" s="4">
        <f t="shared" si="1"/>
        <v>6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  <c r="DK15" s="4" t="s">
        <v>7</v>
      </c>
      <c r="DL15" s="4" t="s">
        <v>7</v>
      </c>
      <c r="DM15" s="4" t="s">
        <v>7</v>
      </c>
      <c r="DN15" s="4" t="s">
        <v>7</v>
      </c>
      <c r="DO15" s="4" t="s">
        <v>7</v>
      </c>
      <c r="DP15" s="4" t="s">
        <v>7</v>
      </c>
      <c r="DQ15" s="4" t="s">
        <v>7</v>
      </c>
      <c r="DR15" s="4" t="s">
        <v>7</v>
      </c>
      <c r="DS15" s="4" t="s">
        <v>7</v>
      </c>
      <c r="DT15" s="4" t="s">
        <v>7</v>
      </c>
      <c r="DU15" s="4" t="s">
        <v>7</v>
      </c>
      <c r="DV15" s="4" t="s">
        <v>7</v>
      </c>
      <c r="DW15" s="4" t="s">
        <v>7</v>
      </c>
      <c r="DX15" s="4" t="s">
        <v>7</v>
      </c>
      <c r="DY15" s="4" t="s">
        <v>7</v>
      </c>
      <c r="DZ15" s="4" t="s">
        <v>35</v>
      </c>
      <c r="EA15" s="4" t="s">
        <v>35</v>
      </c>
      <c r="EB15" s="4" t="s">
        <v>35</v>
      </c>
      <c r="EC15" s="4" t="s">
        <v>7</v>
      </c>
      <c r="ED15" s="4" t="s">
        <v>7</v>
      </c>
      <c r="EE15" s="4" t="s">
        <v>7</v>
      </c>
      <c r="EF15" s="4" t="s">
        <v>7</v>
      </c>
      <c r="EG15" s="4" t="s">
        <v>7</v>
      </c>
      <c r="EH15" s="4" t="s">
        <v>7</v>
      </c>
    </row>
    <row r="16" spans="1:138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</row>
    <row r="17" spans="1:138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</row>
    <row r="18" spans="1:138" x14ac:dyDescent="0.2">
      <c r="A18" s="2" t="s">
        <v>25</v>
      </c>
      <c r="B18" s="4">
        <f t="shared" si="2"/>
        <v>128</v>
      </c>
      <c r="C18" s="4">
        <f t="shared" si="3"/>
        <v>104</v>
      </c>
      <c r="D18" s="6">
        <f t="shared" si="4"/>
        <v>1</v>
      </c>
      <c r="E18" s="4">
        <f t="shared" si="0"/>
        <v>0</v>
      </c>
      <c r="F18" s="4">
        <f t="shared" si="1"/>
        <v>16</v>
      </c>
      <c r="G18" s="4">
        <f t="shared" si="5"/>
        <v>1</v>
      </c>
      <c r="H18" s="4">
        <f t="shared" si="6"/>
        <v>0</v>
      </c>
      <c r="I18" s="4">
        <f t="shared" si="7"/>
        <v>6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  <c r="DK18" s="4" t="s">
        <v>7</v>
      </c>
      <c r="DL18" s="4" t="s">
        <v>35</v>
      </c>
      <c r="DM18" s="4" t="s">
        <v>35</v>
      </c>
      <c r="DN18" s="4" t="s">
        <v>35</v>
      </c>
      <c r="DO18" s="4" t="s">
        <v>35</v>
      </c>
      <c r="DP18" s="4" t="s">
        <v>35</v>
      </c>
      <c r="DQ18" s="4" t="s">
        <v>35</v>
      </c>
      <c r="DR18" s="4" t="s">
        <v>34</v>
      </c>
      <c r="DS18" s="4" t="s">
        <v>7</v>
      </c>
      <c r="DT18" s="4" t="s">
        <v>42</v>
      </c>
      <c r="DU18" s="4" t="s">
        <v>34</v>
      </c>
      <c r="DV18" s="4" t="s">
        <v>7</v>
      </c>
      <c r="DW18" s="4" t="s">
        <v>7</v>
      </c>
      <c r="DX18" s="4" t="s">
        <v>7</v>
      </c>
      <c r="DY18" s="4" t="s">
        <v>7</v>
      </c>
      <c r="DZ18" s="4" t="s">
        <v>7</v>
      </c>
      <c r="EA18" s="4" t="s">
        <v>7</v>
      </c>
      <c r="EB18" s="4" t="s">
        <v>7</v>
      </c>
      <c r="EC18" s="4" t="s">
        <v>7</v>
      </c>
      <c r="ED18" s="4" t="s">
        <v>7</v>
      </c>
      <c r="EE18" s="4" t="s">
        <v>7</v>
      </c>
      <c r="EF18" s="4" t="s">
        <v>7</v>
      </c>
      <c r="EG18" s="4" t="s">
        <v>7</v>
      </c>
      <c r="EH18" s="4" t="s">
        <v>7</v>
      </c>
    </row>
    <row r="19" spans="1:138" x14ac:dyDescent="0.2">
      <c r="A19" s="2" t="s">
        <v>26</v>
      </c>
      <c r="B19" s="4">
        <f t="shared" si="2"/>
        <v>128</v>
      </c>
      <c r="C19" s="4">
        <f t="shared" si="3"/>
        <v>112</v>
      </c>
      <c r="D19" s="6">
        <f t="shared" si="4"/>
        <v>0</v>
      </c>
      <c r="E19" s="4">
        <f t="shared" si="0"/>
        <v>2</v>
      </c>
      <c r="F19" s="4">
        <f t="shared" si="1"/>
        <v>9</v>
      </c>
      <c r="G19" s="4">
        <f t="shared" si="5"/>
        <v>2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  <c r="DK19" s="4" t="s">
        <v>7</v>
      </c>
      <c r="DL19" s="4" t="s">
        <v>7</v>
      </c>
      <c r="DM19" s="4" t="s">
        <v>7</v>
      </c>
      <c r="DN19" s="4" t="s">
        <v>38</v>
      </c>
      <c r="DO19" s="4" t="s">
        <v>7</v>
      </c>
      <c r="DP19" s="4" t="s">
        <v>7</v>
      </c>
      <c r="DQ19" s="4" t="s">
        <v>7</v>
      </c>
      <c r="DR19" s="4" t="s">
        <v>7</v>
      </c>
      <c r="DS19" s="4" t="s">
        <v>7</v>
      </c>
      <c r="DT19" s="4" t="s">
        <v>7</v>
      </c>
      <c r="DU19" s="4" t="s">
        <v>7</v>
      </c>
      <c r="DV19" s="4" t="s">
        <v>7</v>
      </c>
      <c r="DW19" s="4" t="s">
        <v>7</v>
      </c>
      <c r="DX19" s="4" t="s">
        <v>7</v>
      </c>
      <c r="DY19" s="4" t="s">
        <v>7</v>
      </c>
      <c r="DZ19" s="4" t="s">
        <v>35</v>
      </c>
      <c r="EA19" s="4" t="s">
        <v>35</v>
      </c>
      <c r="EB19" s="4" t="s">
        <v>35</v>
      </c>
      <c r="EC19" s="4" t="s">
        <v>7</v>
      </c>
      <c r="ED19" s="4" t="s">
        <v>7</v>
      </c>
      <c r="EE19" s="4" t="s">
        <v>7</v>
      </c>
      <c r="EF19" s="4" t="s">
        <v>7</v>
      </c>
      <c r="EG19" s="4" t="s">
        <v>7</v>
      </c>
      <c r="EH19" s="4" t="s">
        <v>7</v>
      </c>
    </row>
    <row r="20" spans="1:138" x14ac:dyDescent="0.2">
      <c r="A20" s="2" t="s">
        <v>27</v>
      </c>
      <c r="B20" s="4">
        <f t="shared" si="2"/>
        <v>128</v>
      </c>
      <c r="C20" s="4">
        <f t="shared" si="3"/>
        <v>124</v>
      </c>
      <c r="D20" s="6">
        <f t="shared" si="4"/>
        <v>0</v>
      </c>
      <c r="E20" s="4">
        <f t="shared" si="0"/>
        <v>0</v>
      </c>
      <c r="F20" s="4">
        <f t="shared" si="1"/>
        <v>3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  <c r="DK20" s="4" t="s">
        <v>7</v>
      </c>
      <c r="DL20" s="4" t="s">
        <v>7</v>
      </c>
      <c r="DM20" s="4" t="s">
        <v>7</v>
      </c>
      <c r="DN20" s="4" t="s">
        <v>7</v>
      </c>
      <c r="DO20" s="4" t="s">
        <v>35</v>
      </c>
      <c r="DP20" s="4" t="s">
        <v>7</v>
      </c>
      <c r="DQ20" s="4" t="s">
        <v>7</v>
      </c>
      <c r="DR20" s="4" t="s">
        <v>7</v>
      </c>
      <c r="DS20" s="4" t="s">
        <v>7</v>
      </c>
      <c r="DT20" s="4" t="s">
        <v>7</v>
      </c>
      <c r="DU20" s="4" t="s">
        <v>7</v>
      </c>
      <c r="DV20" s="4" t="s">
        <v>7</v>
      </c>
      <c r="DW20" s="4" t="s">
        <v>7</v>
      </c>
      <c r="DX20" s="4" t="s">
        <v>7</v>
      </c>
      <c r="DY20" s="4" t="s">
        <v>7</v>
      </c>
      <c r="DZ20" s="4" t="s">
        <v>7</v>
      </c>
      <c r="EA20" s="4" t="s">
        <v>7</v>
      </c>
      <c r="EB20" s="4" t="s">
        <v>7</v>
      </c>
      <c r="EC20" s="4" t="s">
        <v>7</v>
      </c>
      <c r="ED20" s="4" t="s">
        <v>7</v>
      </c>
      <c r="EE20" s="4" t="s">
        <v>7</v>
      </c>
      <c r="EF20" s="4" t="s">
        <v>7</v>
      </c>
      <c r="EG20" s="4" t="s">
        <v>7</v>
      </c>
      <c r="EH20" s="4" t="s">
        <v>7</v>
      </c>
    </row>
    <row r="21" spans="1:138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38" x14ac:dyDescent="0.2">
      <c r="A22" s="4" t="s">
        <v>29</v>
      </c>
      <c r="B22" s="4">
        <f t="shared" ref="B22:B26" si="9">COUNTA(K22:VR22)</f>
        <v>128</v>
      </c>
      <c r="C22" s="4">
        <f t="shared" ref="C22:C26" si="10">COUNTIF(K22:VR22,"P")</f>
        <v>122</v>
      </c>
      <c r="D22" s="6">
        <f t="shared" si="4"/>
        <v>4</v>
      </c>
      <c r="E22" s="4">
        <f t="shared" si="0"/>
        <v>0</v>
      </c>
      <c r="F22" s="4">
        <f t="shared" si="1"/>
        <v>1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  <c r="DK22" s="4" t="s">
        <v>7</v>
      </c>
      <c r="DL22" s="4" t="s">
        <v>7</v>
      </c>
      <c r="DM22" s="4" t="s">
        <v>7</v>
      </c>
      <c r="DN22" s="4" t="s">
        <v>7</v>
      </c>
      <c r="DO22" s="4" t="s">
        <v>35</v>
      </c>
      <c r="DP22" s="4" t="s">
        <v>7</v>
      </c>
      <c r="DQ22" s="4" t="s">
        <v>7</v>
      </c>
      <c r="DR22" s="4" t="s">
        <v>7</v>
      </c>
      <c r="DS22" s="4" t="s">
        <v>7</v>
      </c>
      <c r="DT22" s="4" t="s">
        <v>42</v>
      </c>
      <c r="DU22" s="4" t="s">
        <v>7</v>
      </c>
      <c r="DV22" s="4" t="s">
        <v>7</v>
      </c>
      <c r="DW22" s="4" t="s">
        <v>7</v>
      </c>
      <c r="DX22" s="4" t="s">
        <v>7</v>
      </c>
      <c r="DY22" s="4" t="s">
        <v>7</v>
      </c>
      <c r="DZ22" s="4" t="s">
        <v>7</v>
      </c>
      <c r="EA22" s="4" t="s">
        <v>7</v>
      </c>
      <c r="EB22" s="4" t="s">
        <v>7</v>
      </c>
      <c r="EC22" s="4" t="s">
        <v>7</v>
      </c>
      <c r="ED22" s="4" t="s">
        <v>7</v>
      </c>
      <c r="EE22" s="4" t="s">
        <v>7</v>
      </c>
      <c r="EF22" s="4" t="s">
        <v>7</v>
      </c>
      <c r="EG22" s="4" t="s">
        <v>7</v>
      </c>
      <c r="EH22" s="4" t="s">
        <v>7</v>
      </c>
    </row>
    <row r="23" spans="1:138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38" x14ac:dyDescent="0.2">
      <c r="A24" s="2" t="s">
        <v>31</v>
      </c>
      <c r="B24" s="4">
        <f t="shared" si="9"/>
        <v>128</v>
      </c>
      <c r="C24" s="4">
        <f t="shared" si="10"/>
        <v>120</v>
      </c>
      <c r="D24" s="6">
        <f t="shared" si="4"/>
        <v>0</v>
      </c>
      <c r="E24" s="4">
        <f t="shared" si="0"/>
        <v>1</v>
      </c>
      <c r="F24" s="4">
        <f t="shared" si="1"/>
        <v>6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  <c r="DK24" s="4" t="s">
        <v>7</v>
      </c>
      <c r="DL24" s="4" t="s">
        <v>7</v>
      </c>
      <c r="DM24" s="4" t="s">
        <v>7</v>
      </c>
      <c r="DN24" s="4" t="s">
        <v>35</v>
      </c>
      <c r="DO24" s="4" t="s">
        <v>7</v>
      </c>
      <c r="DP24" s="4" t="s">
        <v>7</v>
      </c>
      <c r="DQ24" s="4" t="s">
        <v>7</v>
      </c>
      <c r="DR24" s="4" t="s">
        <v>7</v>
      </c>
      <c r="DS24" s="4" t="s">
        <v>7</v>
      </c>
      <c r="DT24" s="4" t="s">
        <v>7</v>
      </c>
      <c r="DU24" s="4" t="s">
        <v>7</v>
      </c>
      <c r="DV24" s="4" t="s">
        <v>7</v>
      </c>
      <c r="DW24" s="4" t="s">
        <v>7</v>
      </c>
      <c r="DX24" s="4" t="s">
        <v>7</v>
      </c>
      <c r="DY24" s="4" t="s">
        <v>7</v>
      </c>
      <c r="DZ24" s="4" t="s">
        <v>7</v>
      </c>
      <c r="EA24" s="4" t="s">
        <v>7</v>
      </c>
      <c r="EB24" s="4" t="s">
        <v>7</v>
      </c>
      <c r="EC24" s="4" t="s">
        <v>7</v>
      </c>
      <c r="ED24" s="4" t="s">
        <v>7</v>
      </c>
      <c r="EE24" s="4" t="s">
        <v>7</v>
      </c>
      <c r="EF24" s="4" t="s">
        <v>7</v>
      </c>
      <c r="EG24" s="4" t="s">
        <v>7</v>
      </c>
      <c r="EH24" s="4" t="s">
        <v>7</v>
      </c>
    </row>
    <row r="25" spans="1:138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</row>
    <row r="26" spans="1:138" x14ac:dyDescent="0.2">
      <c r="A26" s="2" t="s">
        <v>36</v>
      </c>
      <c r="B26" s="4">
        <f t="shared" si="9"/>
        <v>128</v>
      </c>
      <c r="C26" s="4">
        <f t="shared" si="10"/>
        <v>114</v>
      </c>
      <c r="D26" s="6">
        <f t="shared" si="4"/>
        <v>0</v>
      </c>
      <c r="E26" s="4">
        <f t="shared" si="0"/>
        <v>4</v>
      </c>
      <c r="F26" s="4">
        <f t="shared" si="1"/>
        <v>4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  <c r="DK26" s="4" t="s">
        <v>7</v>
      </c>
      <c r="DL26" s="4" t="s">
        <v>7</v>
      </c>
      <c r="DM26" s="4" t="s">
        <v>7</v>
      </c>
      <c r="DN26" s="4" t="s">
        <v>7</v>
      </c>
      <c r="DO26" s="4" t="s">
        <v>7</v>
      </c>
      <c r="DP26" s="4" t="s">
        <v>7</v>
      </c>
      <c r="DQ26" s="4" t="s">
        <v>7</v>
      </c>
      <c r="DR26" s="4" t="s">
        <v>7</v>
      </c>
      <c r="DS26" s="4" t="s">
        <v>7</v>
      </c>
      <c r="DT26" s="4" t="s">
        <v>7</v>
      </c>
      <c r="DU26" s="4" t="s">
        <v>7</v>
      </c>
      <c r="DV26" s="4" t="s">
        <v>7</v>
      </c>
      <c r="DW26" s="4" t="s">
        <v>7</v>
      </c>
      <c r="DX26" s="4" t="s">
        <v>7</v>
      </c>
      <c r="DY26" s="4" t="s">
        <v>7</v>
      </c>
      <c r="DZ26" s="4" t="s">
        <v>7</v>
      </c>
      <c r="EA26" s="4" t="s">
        <v>7</v>
      </c>
      <c r="EB26" s="4" t="s">
        <v>7</v>
      </c>
      <c r="EC26" s="4" t="s">
        <v>7</v>
      </c>
      <c r="ED26" s="4" t="s">
        <v>7</v>
      </c>
      <c r="EE26" s="4" t="s">
        <v>7</v>
      </c>
      <c r="EF26" s="4" t="s">
        <v>35</v>
      </c>
      <c r="EG26" s="4" t="s">
        <v>7</v>
      </c>
      <c r="EH26" s="4" t="s">
        <v>7</v>
      </c>
    </row>
    <row r="27" spans="1:138" x14ac:dyDescent="0.2">
      <c r="A27" s="2" t="s">
        <v>37</v>
      </c>
      <c r="B27" s="4">
        <f t="shared" ref="B27:B29" si="11">COUNTA(K27:VR27)</f>
        <v>118</v>
      </c>
      <c r="C27" s="4">
        <f t="shared" ref="C27:C29" si="12">COUNTIF(K27:VR27,"P")</f>
        <v>88</v>
      </c>
      <c r="D27" s="6">
        <f t="shared" ref="D27:D29" si="13">COUNTIF(K27:VR27,"REP")</f>
        <v>7</v>
      </c>
      <c r="E27" s="4">
        <f t="shared" ref="E27:E29" si="14">COUNTIF(K27:VS27,"A")</f>
        <v>0</v>
      </c>
      <c r="F27" s="4">
        <f t="shared" ref="F27:F29" si="15">COUNTIF(K27:VT27,"B")</f>
        <v>0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  <c r="DK27" s="4" t="s">
        <v>7</v>
      </c>
      <c r="DL27" s="4" t="s">
        <v>7</v>
      </c>
      <c r="DM27" s="4" t="s">
        <v>7</v>
      </c>
      <c r="DN27" s="4" t="s">
        <v>7</v>
      </c>
      <c r="DO27" s="4" t="s">
        <v>7</v>
      </c>
      <c r="DP27" s="4" t="s">
        <v>7</v>
      </c>
      <c r="DQ27" s="4" t="s">
        <v>7</v>
      </c>
      <c r="DR27" s="4" t="s">
        <v>7</v>
      </c>
      <c r="DS27" s="4" t="s">
        <v>7</v>
      </c>
      <c r="DT27" s="4" t="s">
        <v>7</v>
      </c>
      <c r="DU27" s="4" t="s">
        <v>7</v>
      </c>
      <c r="DV27" s="4" t="s">
        <v>7</v>
      </c>
      <c r="DW27" s="4" t="s">
        <v>7</v>
      </c>
      <c r="DX27" s="4" t="s">
        <v>7</v>
      </c>
      <c r="DY27" s="4" t="s">
        <v>7</v>
      </c>
      <c r="DZ27" s="4" t="s">
        <v>7</v>
      </c>
      <c r="EA27" s="4" t="s">
        <v>7</v>
      </c>
      <c r="EB27" s="4" t="s">
        <v>7</v>
      </c>
      <c r="EC27" s="4" t="s">
        <v>7</v>
      </c>
      <c r="ED27" s="4" t="s">
        <v>7</v>
      </c>
      <c r="EE27" s="4" t="s">
        <v>7</v>
      </c>
      <c r="EF27" s="4" t="s">
        <v>7</v>
      </c>
      <c r="EG27" s="4" t="s">
        <v>7</v>
      </c>
      <c r="EH27" s="4" t="s">
        <v>7</v>
      </c>
    </row>
    <row r="28" spans="1:138" x14ac:dyDescent="0.2">
      <c r="A28" s="2" t="s">
        <v>44</v>
      </c>
      <c r="B28" s="4">
        <f t="shared" si="11"/>
        <v>96</v>
      </c>
      <c r="C28" s="4">
        <f t="shared" si="12"/>
        <v>93</v>
      </c>
      <c r="D28" s="6">
        <f t="shared" si="13"/>
        <v>1</v>
      </c>
      <c r="E28" s="4">
        <f t="shared" si="14"/>
        <v>1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  <c r="DK28" s="4" t="s">
        <v>7</v>
      </c>
      <c r="DL28" s="4" t="s">
        <v>7</v>
      </c>
      <c r="DM28" s="4" t="s">
        <v>7</v>
      </c>
      <c r="DN28" s="4" t="s">
        <v>7</v>
      </c>
      <c r="DO28" s="4" t="s">
        <v>7</v>
      </c>
      <c r="DP28" s="4" t="s">
        <v>7</v>
      </c>
      <c r="DQ28" s="4" t="s">
        <v>7</v>
      </c>
      <c r="DR28" s="4" t="s">
        <v>7</v>
      </c>
      <c r="DS28" s="4" t="s">
        <v>7</v>
      </c>
      <c r="DT28" s="4" t="s">
        <v>7</v>
      </c>
      <c r="DU28" s="4" t="s">
        <v>7</v>
      </c>
      <c r="DV28" s="4" t="s">
        <v>32</v>
      </c>
      <c r="DW28" s="4" t="s">
        <v>7</v>
      </c>
      <c r="DX28" s="4" t="s">
        <v>7</v>
      </c>
      <c r="DY28" s="4" t="s">
        <v>7</v>
      </c>
      <c r="DZ28" s="4" t="s">
        <v>7</v>
      </c>
      <c r="EA28" s="4" t="s">
        <v>7</v>
      </c>
      <c r="EB28" s="4" t="s">
        <v>7</v>
      </c>
      <c r="EC28" s="4" t="s">
        <v>7</v>
      </c>
      <c r="ED28" s="4" t="s">
        <v>7</v>
      </c>
      <c r="EE28" s="4" t="s">
        <v>7</v>
      </c>
      <c r="EF28" s="4" t="s">
        <v>7</v>
      </c>
      <c r="EG28" s="4" t="s">
        <v>7</v>
      </c>
      <c r="EH28" s="4" t="s">
        <v>7</v>
      </c>
    </row>
    <row r="29" spans="1:138" x14ac:dyDescent="0.2">
      <c r="A29" s="2" t="s">
        <v>43</v>
      </c>
      <c r="B29" s="4">
        <f t="shared" si="11"/>
        <v>96</v>
      </c>
      <c r="C29" s="4">
        <f t="shared" si="12"/>
        <v>88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  <c r="DK29" s="4" t="s">
        <v>7</v>
      </c>
      <c r="DL29" s="4" t="s">
        <v>7</v>
      </c>
      <c r="DM29" s="4" t="s">
        <v>7</v>
      </c>
      <c r="DN29" s="4" t="s">
        <v>7</v>
      </c>
      <c r="DO29" s="4" t="s">
        <v>7</v>
      </c>
      <c r="DP29" s="4" t="s">
        <v>7</v>
      </c>
      <c r="DQ29" s="4" t="s">
        <v>7</v>
      </c>
      <c r="DR29" s="4" t="s">
        <v>7</v>
      </c>
      <c r="DS29" s="4" t="s">
        <v>7</v>
      </c>
      <c r="DT29" s="4" t="s">
        <v>7</v>
      </c>
      <c r="DU29" s="4" t="s">
        <v>7</v>
      </c>
      <c r="DV29" s="4" t="s">
        <v>7</v>
      </c>
      <c r="DW29" s="4" t="s">
        <v>7</v>
      </c>
      <c r="DX29" s="4" t="s">
        <v>7</v>
      </c>
      <c r="DY29" s="4" t="s">
        <v>7</v>
      </c>
      <c r="DZ29" s="4" t="s">
        <v>7</v>
      </c>
      <c r="EA29" s="4" t="s">
        <v>7</v>
      </c>
      <c r="EB29" s="4" t="s">
        <v>7</v>
      </c>
      <c r="EC29" s="4" t="s">
        <v>7</v>
      </c>
      <c r="ED29" s="4" t="s">
        <v>7</v>
      </c>
      <c r="EE29" s="4" t="s">
        <v>7</v>
      </c>
      <c r="EF29" s="4" t="s">
        <v>7</v>
      </c>
      <c r="EG29" s="4" t="s">
        <v>7</v>
      </c>
      <c r="EH29" s="4" t="s">
        <v>7</v>
      </c>
    </row>
    <row r="30" spans="1:138" x14ac:dyDescent="0.2">
      <c r="A30" s="2" t="s">
        <v>46</v>
      </c>
      <c r="B30" s="4">
        <f t="shared" ref="B30" si="20">COUNTA(K30:VR30)</f>
        <v>41</v>
      </c>
      <c r="C30" s="4">
        <f t="shared" ref="C30" si="21">COUNTIF(K30:VR30,"P")</f>
        <v>41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0</v>
      </c>
      <c r="G30" s="4">
        <f t="shared" ref="G30" si="25">COUNTIF(K30:VU30,"M")</f>
        <v>0</v>
      </c>
      <c r="H30" s="4">
        <f t="shared" ref="H30" si="26">COUNTIF(K30:VV30,"R")</f>
        <v>0</v>
      </c>
      <c r="I30" s="4">
        <f t="shared" ref="I30" si="27">COUNTIF(K30:VW30,"RH")</f>
        <v>0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  <c r="DK30" s="4" t="s">
        <v>7</v>
      </c>
      <c r="DL30" s="4" t="s">
        <v>7</v>
      </c>
      <c r="DM30" s="4" t="s">
        <v>7</v>
      </c>
      <c r="DN30" s="4" t="s">
        <v>7</v>
      </c>
      <c r="DO30" s="4" t="s">
        <v>7</v>
      </c>
      <c r="DP30" s="4" t="s">
        <v>7</v>
      </c>
      <c r="DQ30" s="4" t="s">
        <v>7</v>
      </c>
      <c r="DR30" s="4" t="s">
        <v>7</v>
      </c>
      <c r="DS30" s="4" t="s">
        <v>7</v>
      </c>
      <c r="DT30" s="4" t="s">
        <v>7</v>
      </c>
      <c r="DU30" s="4" t="s">
        <v>7</v>
      </c>
      <c r="DV30" s="4" t="s">
        <v>7</v>
      </c>
      <c r="DW30" s="4" t="s">
        <v>7</v>
      </c>
      <c r="DX30" s="4" t="s">
        <v>7</v>
      </c>
      <c r="DY30" s="4" t="s">
        <v>7</v>
      </c>
      <c r="DZ30" s="4" t="s">
        <v>7</v>
      </c>
      <c r="EA30" s="4" t="s">
        <v>7</v>
      </c>
      <c r="EB30" s="4" t="s">
        <v>7</v>
      </c>
      <c r="EC30" s="4" t="s">
        <v>7</v>
      </c>
      <c r="ED30" s="4" t="s">
        <v>7</v>
      </c>
      <c r="EE30" s="4" t="s">
        <v>7</v>
      </c>
      <c r="EF30" s="4" t="s">
        <v>7</v>
      </c>
      <c r="EG30" s="4" t="s">
        <v>7</v>
      </c>
      <c r="EH30" s="4" t="s">
        <v>7</v>
      </c>
    </row>
    <row r="31" spans="1:138" x14ac:dyDescent="0.2">
      <c r="A31" s="2" t="s">
        <v>48</v>
      </c>
      <c r="B31" s="4">
        <f t="shared" ref="B31" si="29">COUNTA(K31:VR31)</f>
        <v>29</v>
      </c>
      <c r="C31" s="4">
        <f t="shared" ref="C31" si="30">COUNTIF(K31:VR31,"P")</f>
        <v>25</v>
      </c>
      <c r="D31" s="6">
        <f t="shared" ref="D31" si="31">COUNTIF(K31:VR31,"REP")</f>
        <v>1</v>
      </c>
      <c r="E31" s="4">
        <f t="shared" ref="E31" si="32">COUNTIF(K31:VS31,"A")</f>
        <v>0</v>
      </c>
      <c r="F31" s="4">
        <f t="shared" ref="F31" si="33">COUNTIF(K31:VT31,"B")</f>
        <v>2</v>
      </c>
      <c r="G31" s="4">
        <f t="shared" ref="G31" si="34">COUNTIF(K31:VU31,"M")</f>
        <v>1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  <c r="DK31" s="4" t="s">
        <v>7</v>
      </c>
      <c r="DL31" s="4" t="s">
        <v>7</v>
      </c>
      <c r="DM31" s="4" t="s">
        <v>7</v>
      </c>
      <c r="DN31" s="4" t="s">
        <v>7</v>
      </c>
      <c r="DO31" s="4" t="s">
        <v>7</v>
      </c>
      <c r="DP31" s="4" t="s">
        <v>7</v>
      </c>
      <c r="DQ31" s="4" t="s">
        <v>7</v>
      </c>
      <c r="DR31" s="4" t="s">
        <v>7</v>
      </c>
      <c r="DS31" s="4" t="s">
        <v>7</v>
      </c>
      <c r="DT31" s="4" t="s">
        <v>42</v>
      </c>
      <c r="DU31" s="4" t="s">
        <v>7</v>
      </c>
      <c r="DV31" s="4" t="s">
        <v>7</v>
      </c>
      <c r="DW31" s="4" t="s">
        <v>7</v>
      </c>
      <c r="DX31" s="4" t="s">
        <v>7</v>
      </c>
      <c r="DY31" s="4" t="s">
        <v>7</v>
      </c>
      <c r="DZ31" s="4" t="s">
        <v>7</v>
      </c>
      <c r="EA31" s="4" t="s">
        <v>7</v>
      </c>
      <c r="EB31" s="4" t="s">
        <v>7</v>
      </c>
      <c r="EC31" s="4" t="s">
        <v>38</v>
      </c>
      <c r="ED31" s="4" t="s">
        <v>7</v>
      </c>
      <c r="EE31" s="4" t="s">
        <v>7</v>
      </c>
      <c r="EF31" s="4" t="s">
        <v>7</v>
      </c>
      <c r="EG31" s="4" t="s">
        <v>35</v>
      </c>
      <c r="EH31" s="4" t="s">
        <v>35</v>
      </c>
    </row>
    <row r="32" spans="1:138" x14ac:dyDescent="0.2">
      <c r="A32" s="2" t="s">
        <v>47</v>
      </c>
      <c r="B32" s="4">
        <f t="shared" ref="B32" si="38">COUNTA(K32:VR32)</f>
        <v>25</v>
      </c>
      <c r="C32" s="4">
        <f t="shared" ref="C32" si="39">COUNTIF(K32:VR32,"P")</f>
        <v>24</v>
      </c>
      <c r="D32" s="6">
        <f t="shared" ref="D32" si="40">COUNTIF(K32:VR32,"REP")</f>
        <v>0</v>
      </c>
      <c r="E32" s="4">
        <f t="shared" ref="E32" si="41">COUNTIF(K32:VS32,"A")</f>
        <v>1</v>
      </c>
      <c r="F32" s="4">
        <f t="shared" ref="F32" si="42">COUNTIF(K32:VT32,"B")</f>
        <v>0</v>
      </c>
      <c r="G32" s="4">
        <f t="shared" ref="G32" si="43">COUNTIF(K32:VU32,"M")</f>
        <v>0</v>
      </c>
      <c r="H32" s="4">
        <f t="shared" ref="H32" si="44">COUNTIF(K32:VV32,"R")</f>
        <v>0</v>
      </c>
      <c r="I32" s="4">
        <f t="shared" ref="I32" si="45">COUNTIF(K32:VW32,"RH")</f>
        <v>0</v>
      </c>
      <c r="J32" s="4">
        <f t="shared" ref="J32" si="46">COUNTIF(K32:VW32,"S")</f>
        <v>0</v>
      </c>
      <c r="DJ32" s="4" t="s">
        <v>7</v>
      </c>
      <c r="DK32" s="4" t="s">
        <v>7</v>
      </c>
      <c r="DL32" s="4" t="s">
        <v>7</v>
      </c>
      <c r="DM32" s="4" t="s">
        <v>7</v>
      </c>
      <c r="DN32" s="4" t="s">
        <v>7</v>
      </c>
      <c r="DO32" s="4" t="s">
        <v>7</v>
      </c>
      <c r="DP32" s="4" t="s">
        <v>7</v>
      </c>
      <c r="DQ32" s="4" t="s">
        <v>7</v>
      </c>
      <c r="DR32" s="4" t="s">
        <v>7</v>
      </c>
      <c r="DS32" s="4" t="s">
        <v>7</v>
      </c>
      <c r="DT32" s="4" t="s">
        <v>7</v>
      </c>
      <c r="DU32" s="4" t="s">
        <v>7</v>
      </c>
      <c r="DV32" s="4" t="s">
        <v>7</v>
      </c>
      <c r="DW32" s="4" t="s">
        <v>7</v>
      </c>
      <c r="DX32" s="4" t="s">
        <v>7</v>
      </c>
      <c r="DY32" s="4" t="s">
        <v>7</v>
      </c>
      <c r="DZ32" s="4" t="s">
        <v>7</v>
      </c>
      <c r="EA32" s="4" t="s">
        <v>7</v>
      </c>
      <c r="EB32" s="4" t="s">
        <v>7</v>
      </c>
      <c r="EC32" s="4" t="s">
        <v>32</v>
      </c>
      <c r="ED32" s="4" t="s">
        <v>7</v>
      </c>
      <c r="EE32" s="4" t="s">
        <v>7</v>
      </c>
      <c r="EF32" s="4" t="s">
        <v>7</v>
      </c>
      <c r="EG32" s="4" t="s">
        <v>7</v>
      </c>
      <c r="EH32" s="4" t="s">
        <v>7</v>
      </c>
    </row>
  </sheetData>
  <conditionalFormatting sqref="A21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2026-03-18T15:14:48Z</dcterms:modified>
</cp:coreProperties>
</file>