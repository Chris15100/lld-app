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86DEC51B-AD1D-A646-BE36-E0D713715964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1" l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<sst xmlns="http://schemas.openxmlformats.org/spreadsheetml/2006/main" count="2352" uniqueCount="47">
  <si>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</si>
  <si>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</si>
  <si>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</si>
  <si>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</si>
  <si>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</si>
  <si>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</si>
  <si>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</si>
  <si>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</si>
  <si>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</si>
  <si>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</si>
  <si>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</si>
  <si>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</si>
  <si>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</si>
  <si>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</si>
  <si>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</si>
  <si>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</si>
  <si>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</si>
  <si>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</si>
  <si>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</si>
  <si>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</si>
  <si>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</si>
  <si>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</si>
  <si>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</si>
  <si>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</si>
  <si>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</si>
  <si>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</si>
  <si>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</si>
  <si>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</si>
  <si>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</si>
  <si>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</si>
  <si>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</si>
  <si>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</si>
  <si>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</si>
  <si>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</si>
  <si>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</si>
  <si>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</si>
  <si>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</si>
  <si>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</si>
  <si>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</si>
  <si>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</si>
  <si>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</si>
  <si>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</si>
  <si>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</si>
  <si>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</si>
  <si>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</si>
  <si>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</si>
  <si>
    <t>Theo Owono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</si>
</sst>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CT30"/>
  <sheetViews>
    <sheetView tabSelected="1" workbookViewId="0">
      <pane xSplit="1" topLeftCell="CS1" activePane="topRight" state="frozen"/>
      <selection pane="topRight" activeCell="CW28" sqref="CW28"/>
    </sheetView>
  </sheetViews>
  <sheetFormatPr baseColWidth="10" defaultRowHeight="16" x14ac:dyDescent="0.2"/>
  <cols>
    <col min="1" max="1" width="17.1640625" customWidth="1"/>
  </cols>
  <sheetData>
    <row r="1" spans="1:98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  <c r="CR1" s="5">
        <v>46009</v>
      </c>
      <c r="CS1" s="5">
        <v>46010</v>
      </c>
      <c r="CT1" s="5">
        <v>46024</v>
      </c>
    </row>
    <row r="2" spans="1:98" x14ac:dyDescent="0.2">
      <c r="A2" s="2" t="s">
        <v>9</v>
      </c>
      <c r="B2" s="4">
        <f>COUNTA(K2:VQ2)</f>
        <v>88</v>
      </c>
      <c r="C2" s="4">
        <f>COUNTIF(K2:VQ2,"P")</f>
        <v>88</v>
      </c>
      <c r="D2" s="6">
        <f>COUNTIF(K2:VQ2,"REP")</f>
        <v>0</v>
      </c>
      <c r="E2" s="4">
        <f t="shared" ref="E2:E26" si="0">COUNTIF(K2:VR2,"A")</f>
        <v>0</v>
      </c>
      <c r="F2" s="4">
        <f t="shared" ref="F2:F26" si="1">COUNTIF(K2:VS2,"B")</f>
        <v>0</v>
      </c>
      <c r="G2" s="4">
        <f>COUNTIF(K2:VT2,"M")</f>
        <v>0</v>
      </c>
      <c r="H2" s="4">
        <f>COUNTIF(K2:VU2,"R")</f>
        <v>0</v>
      </c>
      <c r="I2" s="4">
        <f>COUNTIF(K2:VV2,"RH")</f>
        <v>0</v>
      </c>
      <c r="J2" s="4">
        <f>COUNTIF(K2:VV2,"S")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  <c r="CR2" s="4" t="s">
        <v>7</v>
      </c>
      <c r="CS2" s="4" t="s">
        <v>7</v>
      </c>
      <c r="CT2" s="4" t="s">
        <v>7</v>
      </c>
    </row>
    <row r="3" spans="1:98" x14ac:dyDescent="0.2">
      <c r="A3" s="2" t="s">
        <v>10</v>
      </c>
      <c r="B3" s="4">
        <f t="shared" ref="B3:B21" si="2">COUNTA(K3:VQ3)</f>
        <v>88</v>
      </c>
      <c r="C3" s="4">
        <f t="shared" ref="C3:C21" si="3">COUNTIF(K3:VQ3,"P")</f>
        <v>72</v>
      </c>
      <c r="D3" s="6">
        <f t="shared" ref="D3:D26" si="4">COUNTIF(K3:VQ3,"REP")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COUNTIF(K3:VT3,"M")</f>
        <v>2</v>
      </c>
      <c r="H3" s="4">
        <f t="shared" ref="H3:H26" si="6">COUNTIF(K3:VU3,"R")</f>
        <v>12</v>
      </c>
      <c r="I3" s="4">
        <f t="shared" ref="I3:I26" si="7">COUNTIF(K3:VV3,"RH")</f>
        <v>0</v>
      </c>
      <c r="J3" s="4">
        <f t="shared" ref="J3:J26" si="8">COUNTIF(K3:VV3,"S")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  <c r="CR3" s="4" t="s">
        <v>7</v>
      </c>
      <c r="CS3" s="4" t="s">
        <v>7</v>
      </c>
      <c r="CT3" s="4" t="s">
        <v>7</v>
      </c>
    </row>
    <row r="4" spans="1:98" x14ac:dyDescent="0.2">
      <c r="A4" s="2" t="s">
        <v>11</v>
      </c>
      <c r="B4" s="4">
        <f t="shared" si="2"/>
        <v>88</v>
      </c>
      <c r="C4" s="4">
        <f t="shared" si="3"/>
        <v>86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  <c r="CR4" s="4" t="s">
        <v>7</v>
      </c>
      <c r="CS4" s="4" t="s">
        <v>7</v>
      </c>
      <c r="CT4" s="4" t="s">
        <v>7</v>
      </c>
    </row>
    <row r="5" spans="1:98" x14ac:dyDescent="0.2">
      <c r="A5" s="2" t="s">
        <v>12</v>
      </c>
      <c r="B5" s="4">
        <f t="shared" si="2"/>
        <v>88</v>
      </c>
      <c r="C5" s="4">
        <f t="shared" si="3"/>
        <v>55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  <c r="CR5" s="4" t="s">
        <v>7</v>
      </c>
      <c r="CS5" s="4" t="s">
        <v>7</v>
      </c>
      <c r="CT5" s="4" t="s">
        <v>7</v>
      </c>
    </row>
    <row r="6" spans="1:98" x14ac:dyDescent="0.2">
      <c r="A6" s="2" t="s">
        <v>13</v>
      </c>
      <c r="B6" s="4">
        <f t="shared" si="2"/>
        <v>88</v>
      </c>
      <c r="C6" s="4">
        <f t="shared" si="3"/>
        <v>47</v>
      </c>
      <c r="D6" s="6">
        <f t="shared" si="4"/>
        <v>1</v>
      </c>
      <c r="E6" s="4">
        <f t="shared" si="0"/>
        <v>3</v>
      </c>
      <c r="F6" s="4">
        <f>COUNTIF(K6:VS6,"B")</f>
        <v>26</v>
      </c>
      <c r="G6" s="4">
        <f t="shared" si="5"/>
        <v>3</v>
      </c>
      <c r="H6" s="4">
        <f t="shared" si="6"/>
        <v>2</v>
      </c>
      <c r="I6" s="4">
        <f t="shared" si="7"/>
        <v>6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  <c r="CR6" s="4" t="s">
        <v>7</v>
      </c>
      <c r="CS6" s="4" t="s">
        <v>40</v>
      </c>
      <c r="CT6" s="4" t="s">
        <v>7</v>
      </c>
    </row>
    <row r="7" spans="1:98" x14ac:dyDescent="0.2">
      <c r="A7" s="2" t="s">
        <v>14</v>
      </c>
      <c r="B7" s="4">
        <f t="shared" si="2"/>
        <v>88</v>
      </c>
      <c r="C7" s="4">
        <f t="shared" si="3"/>
        <v>76</v>
      </c>
      <c r="D7" s="6">
        <f t="shared" si="4"/>
        <v>1</v>
      </c>
      <c r="E7" s="4">
        <f>COUNTIF(K7:VR7,"A")</f>
        <v>1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  <c r="CR7" s="4" t="s">
        <v>7</v>
      </c>
      <c r="CS7" s="4" t="s">
        <v>7</v>
      </c>
      <c r="CT7" s="4" t="s">
        <v>7</v>
      </c>
    </row>
    <row r="8" spans="1:98" x14ac:dyDescent="0.2">
      <c r="A8" s="2" t="s">
        <v>15</v>
      </c>
      <c r="B8" s="4">
        <f t="shared" si="2"/>
        <v>88</v>
      </c>
      <c r="C8" s="4">
        <f t="shared" si="3"/>
        <v>63</v>
      </c>
      <c r="D8" s="6">
        <f t="shared" si="4"/>
        <v>1</v>
      </c>
      <c r="E8" s="4">
        <f t="shared" si="0"/>
        <v>0</v>
      </c>
      <c r="F8" s="4">
        <f t="shared" si="1"/>
        <v>15</v>
      </c>
      <c r="G8" s="4">
        <f t="shared" si="5"/>
        <v>0</v>
      </c>
      <c r="H8" s="4">
        <f t="shared" si="6"/>
        <v>6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  <c r="CR8" s="4" t="s">
        <v>7</v>
      </c>
      <c r="CS8" s="4" t="s">
        <v>40</v>
      </c>
      <c r="CT8" s="4" t="s">
        <v>7</v>
      </c>
    </row>
    <row r="9" spans="1:98" x14ac:dyDescent="0.2">
      <c r="A9" s="2" t="s">
        <v>16</v>
      </c>
      <c r="B9" s="4">
        <f t="shared" si="2"/>
        <v>88</v>
      </c>
      <c r="C9" s="4">
        <f t="shared" si="3"/>
        <v>86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2</v>
      </c>
      <c r="H9" s="4">
        <f t="shared" si="6"/>
        <v>0</v>
      </c>
      <c r="I9" s="4">
        <f t="shared" si="7"/>
        <v>0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  <c r="CR9" s="4" t="s">
        <v>7</v>
      </c>
      <c r="CS9" s="4" t="s">
        <v>7</v>
      </c>
      <c r="CT9" s="4" t="s">
        <v>7</v>
      </c>
    </row>
    <row r="10" spans="1:98" x14ac:dyDescent="0.2">
      <c r="A10" s="2" t="s">
        <v>17</v>
      </c>
      <c r="B10" s="4">
        <f t="shared" si="2"/>
        <v>88</v>
      </c>
      <c r="C10" s="4">
        <f t="shared" si="3"/>
        <v>70</v>
      </c>
      <c r="D10" s="6">
        <f t="shared" si="4"/>
        <v>0</v>
      </c>
      <c r="E10" s="4">
        <f t="shared" si="0"/>
        <v>0</v>
      </c>
      <c r="F10" s="4">
        <f t="shared" si="1"/>
        <v>13</v>
      </c>
      <c r="G10" s="4">
        <f t="shared" si="5"/>
        <v>0</v>
      </c>
      <c r="H10" s="4">
        <f t="shared" si="6"/>
        <v>0</v>
      </c>
      <c r="I10" s="4">
        <f t="shared" si="7"/>
        <v>5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  <c r="CR10" s="4" t="s">
        <v>7</v>
      </c>
      <c r="CS10" s="4" t="s">
        <v>7</v>
      </c>
      <c r="CT10" s="4" t="s">
        <v>34</v>
      </c>
    </row>
    <row r="11" spans="1:98" x14ac:dyDescent="0.2">
      <c r="A11" s="2" t="s">
        <v>18</v>
      </c>
      <c r="B11" s="4">
        <f t="shared" si="2"/>
        <v>88</v>
      </c>
      <c r="C11" s="4">
        <f t="shared" si="3"/>
        <v>82</v>
      </c>
      <c r="D11" s="6">
        <f t="shared" si="4"/>
        <v>1</v>
      </c>
      <c r="E11" s="4">
        <f t="shared" si="0"/>
        <v>0</v>
      </c>
      <c r="F11" s="4">
        <f t="shared" si="1"/>
        <v>4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  <c r="CR11" s="4" t="s">
        <v>7</v>
      </c>
      <c r="CS11" s="4" t="s">
        <v>7</v>
      </c>
      <c r="CT11" s="4" t="s">
        <v>7</v>
      </c>
    </row>
    <row r="12" spans="1:98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98" x14ac:dyDescent="0.2">
      <c r="A13" s="2" t="s">
        <v>20</v>
      </c>
      <c r="B13" s="4">
        <f t="shared" si="2"/>
        <v>88</v>
      </c>
      <c r="C13" s="4">
        <f t="shared" si="3"/>
        <v>17</v>
      </c>
      <c r="D13" s="6">
        <f t="shared" si="4"/>
        <v>0</v>
      </c>
      <c r="E13" s="4">
        <f t="shared" si="0"/>
        <v>1</v>
      </c>
      <c r="F13" s="4">
        <f t="shared" si="1"/>
        <v>58</v>
      </c>
      <c r="G13" s="4">
        <f t="shared" si="5"/>
        <v>0</v>
      </c>
      <c r="H13" s="4">
        <f t="shared" si="6"/>
        <v>0</v>
      </c>
      <c r="I13" s="4">
        <f t="shared" si="7"/>
        <v>12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  <c r="CR13" s="4" t="s">
        <v>35</v>
      </c>
      <c r="CS13" s="4" t="s">
        <v>35</v>
      </c>
      <c r="CT13" s="4" t="s">
        <v>35</v>
      </c>
    </row>
    <row r="14" spans="1:98" x14ac:dyDescent="0.2">
      <c r="A14" s="2" t="s">
        <v>21</v>
      </c>
      <c r="B14" s="4">
        <f t="shared" si="2"/>
        <v>88</v>
      </c>
      <c r="C14" s="4">
        <f t="shared" si="3"/>
        <v>87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  <c r="CR14" s="4" t="s">
        <v>7</v>
      </c>
      <c r="CS14" s="4" t="s">
        <v>7</v>
      </c>
      <c r="CT14" s="4" t="s">
        <v>7</v>
      </c>
    </row>
    <row r="15" spans="1:98" x14ac:dyDescent="0.2">
      <c r="A15" s="2" t="s">
        <v>22</v>
      </c>
      <c r="B15" s="4">
        <f t="shared" si="2"/>
        <v>88</v>
      </c>
      <c r="C15" s="4">
        <f t="shared" si="3"/>
        <v>83</v>
      </c>
      <c r="D15" s="6">
        <f t="shared" si="4"/>
        <v>0</v>
      </c>
      <c r="E15" s="4">
        <f t="shared" si="0"/>
        <v>0</v>
      </c>
      <c r="F15" s="4">
        <f t="shared" si="1"/>
        <v>3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  <c r="CR15" s="4" t="s">
        <v>7</v>
      </c>
      <c r="CS15" s="4" t="s">
        <v>7</v>
      </c>
      <c r="CT15" s="4" t="s">
        <v>7</v>
      </c>
    </row>
    <row r="16" spans="1:98" x14ac:dyDescent="0.2">
      <c r="A16" s="2" t="s">
        <v>23</v>
      </c>
      <c r="B16" s="4">
        <f t="shared" si="2"/>
        <v>88</v>
      </c>
      <c r="C16" s="4">
        <f t="shared" si="3"/>
        <v>71</v>
      </c>
      <c r="D16" s="6">
        <f t="shared" si="4"/>
        <v>0</v>
      </c>
      <c r="E16" s="4">
        <f t="shared" si="0"/>
        <v>0</v>
      </c>
      <c r="F16" s="4">
        <f t="shared" si="1"/>
        <v>6</v>
      </c>
      <c r="G16" s="4">
        <f t="shared" si="5"/>
        <v>0</v>
      </c>
      <c r="H16" s="4">
        <f t="shared" si="6"/>
        <v>0</v>
      </c>
      <c r="I16" s="4">
        <f t="shared" si="7"/>
        <v>11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  <c r="CR16" s="4" t="s">
        <v>7</v>
      </c>
      <c r="CS16" s="4" t="s">
        <v>7</v>
      </c>
      <c r="CT16" s="4" t="s">
        <v>35</v>
      </c>
    </row>
    <row r="17" spans="1:98" x14ac:dyDescent="0.2">
      <c r="A17" s="2" t="s">
        <v>24</v>
      </c>
      <c r="B17" s="4">
        <f t="shared" si="2"/>
        <v>88</v>
      </c>
      <c r="C17" s="4">
        <f t="shared" si="3"/>
        <v>63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  <c r="CR17" s="4" t="s">
        <v>7</v>
      </c>
      <c r="CS17" s="4" t="s">
        <v>7</v>
      </c>
      <c r="CT17" s="4" t="s">
        <v>7</v>
      </c>
    </row>
    <row r="18" spans="1:98" x14ac:dyDescent="0.2">
      <c r="A18" s="2" t="s">
        <v>25</v>
      </c>
      <c r="B18" s="4">
        <f t="shared" si="2"/>
        <v>88</v>
      </c>
      <c r="C18" s="4">
        <f t="shared" si="3"/>
        <v>81</v>
      </c>
      <c r="D18" s="6">
        <f t="shared" si="4"/>
        <v>0</v>
      </c>
      <c r="E18" s="4">
        <f t="shared" si="0"/>
        <v>0</v>
      </c>
      <c r="F18" s="4">
        <f t="shared" si="1"/>
        <v>4</v>
      </c>
      <c r="G18" s="4">
        <f t="shared" si="5"/>
        <v>1</v>
      </c>
      <c r="H18" s="4">
        <f t="shared" si="6"/>
        <v>0</v>
      </c>
      <c r="I18" s="4">
        <f t="shared" si="7"/>
        <v>2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  <c r="CR18" s="4" t="s">
        <v>7</v>
      </c>
      <c r="CS18" s="4" t="s">
        <v>7</v>
      </c>
      <c r="CT18" s="4" t="s">
        <v>7</v>
      </c>
    </row>
    <row r="19" spans="1:98" x14ac:dyDescent="0.2">
      <c r="A19" s="2" t="s">
        <v>26</v>
      </c>
      <c r="B19" s="4">
        <f t="shared" si="2"/>
        <v>88</v>
      </c>
      <c r="C19" s="4">
        <f t="shared" si="3"/>
        <v>76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1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  <c r="CR19" s="4" t="s">
        <v>7</v>
      </c>
      <c r="CS19" s="4" t="s">
        <v>7</v>
      </c>
      <c r="CT19" s="4" t="s">
        <v>7</v>
      </c>
    </row>
    <row r="20" spans="1:98" x14ac:dyDescent="0.2">
      <c r="A20" s="2" t="s">
        <v>27</v>
      </c>
      <c r="B20" s="4">
        <f t="shared" si="2"/>
        <v>88</v>
      </c>
      <c r="C20" s="4">
        <f t="shared" si="3"/>
        <v>86</v>
      </c>
      <c r="D20" s="6">
        <f t="shared" si="4"/>
        <v>0</v>
      </c>
      <c r="E20" s="4">
        <f t="shared" si="0"/>
        <v>0</v>
      </c>
      <c r="F20" s="4">
        <f t="shared" si="1"/>
        <v>1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  <c r="CR20" s="4" t="s">
        <v>7</v>
      </c>
      <c r="CS20" s="4" t="s">
        <v>7</v>
      </c>
      <c r="CT20" s="4" t="s">
        <v>7</v>
      </c>
    </row>
    <row r="21" spans="1:98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1:98" x14ac:dyDescent="0.2">
      <c r="A22" s="4" t="s">
        <v>29</v>
      </c>
      <c r="B22" s="4">
        <f t="shared" ref="B22:B26" si="9">COUNTA(K22:VQ22)</f>
        <v>88</v>
      </c>
      <c r="C22" s="4">
        <f t="shared" ref="C22:C26" si="10">COUNTIF(K22:VQ22,"P")</f>
        <v>86</v>
      </c>
      <c r="D22" s="6">
        <f t="shared" si="4"/>
        <v>2</v>
      </c>
      <c r="E22" s="4">
        <f t="shared" si="0"/>
        <v>0</v>
      </c>
      <c r="F22" s="4">
        <f t="shared" si="1"/>
        <v>0</v>
      </c>
      <c r="G22" s="4">
        <f t="shared" si="5"/>
        <v>0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  <c r="CR22" s="4" t="s">
        <v>7</v>
      </c>
      <c r="CS22" s="4" t="s">
        <v>7</v>
      </c>
      <c r="CT22" s="4" t="s">
        <v>7</v>
      </c>
    </row>
    <row r="23" spans="1:98" x14ac:dyDescent="0.2">
      <c r="A23" s="2" t="s">
        <v>30</v>
      </c>
      <c r="B23" s="4">
        <f t="shared" si="9"/>
        <v>87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27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  <c r="CR23" s="4" t="s">
        <v>35</v>
      </c>
      <c r="CS23" s="4" t="s">
        <v>35</v>
      </c>
    </row>
    <row r="24" spans="1:98" x14ac:dyDescent="0.2">
      <c r="A24" s="2" t="s">
        <v>31</v>
      </c>
      <c r="B24" s="4">
        <f t="shared" si="9"/>
        <v>88</v>
      </c>
      <c r="C24" s="4">
        <f t="shared" si="10"/>
        <v>81</v>
      </c>
      <c r="D24" s="6">
        <f t="shared" si="4"/>
        <v>0</v>
      </c>
      <c r="E24" s="4">
        <f t="shared" si="0"/>
        <v>1</v>
      </c>
      <c r="F24" s="4">
        <f t="shared" si="1"/>
        <v>5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  <c r="CR24" s="4" t="s">
        <v>7</v>
      </c>
      <c r="CS24" s="4" t="s">
        <v>7</v>
      </c>
      <c r="CT24" s="4" t="s">
        <v>7</v>
      </c>
    </row>
    <row r="25" spans="1:98" x14ac:dyDescent="0.2">
      <c r="A25" s="2" t="s">
        <v>39</v>
      </c>
      <c r="B25" s="4">
        <f t="shared" si="9"/>
        <v>88</v>
      </c>
      <c r="C25" s="4">
        <f t="shared" si="10"/>
        <v>68</v>
      </c>
      <c r="D25" s="6">
        <f t="shared" si="4"/>
        <v>0</v>
      </c>
      <c r="E25" s="4">
        <f t="shared" si="0"/>
        <v>3</v>
      </c>
      <c r="F25" s="4">
        <f t="shared" si="1"/>
        <v>11</v>
      </c>
      <c r="G25" s="4">
        <f t="shared" si="5"/>
        <v>3</v>
      </c>
      <c r="H25" s="4">
        <f t="shared" si="6"/>
        <v>0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  <c r="CR25" s="4" t="s">
        <v>7</v>
      </c>
      <c r="CS25" s="4" t="s">
        <v>7</v>
      </c>
      <c r="CT25" s="4" t="s">
        <v>32</v>
      </c>
    </row>
    <row r="26" spans="1:98" x14ac:dyDescent="0.2">
      <c r="A26" s="2" t="s">
        <v>36</v>
      </c>
      <c r="B26" s="4">
        <f t="shared" si="9"/>
        <v>88</v>
      </c>
      <c r="C26" s="4">
        <f t="shared" si="10"/>
        <v>84</v>
      </c>
      <c r="D26" s="6">
        <f t="shared" si="4"/>
        <v>0</v>
      </c>
      <c r="E26" s="4">
        <f t="shared" si="0"/>
        <v>0</v>
      </c>
      <c r="F26" s="4">
        <f t="shared" si="1"/>
        <v>1</v>
      </c>
      <c r="G26" s="4">
        <f t="shared" si="5"/>
        <v>3</v>
      </c>
      <c r="H26" s="4">
        <f t="shared" si="6"/>
        <v>0</v>
      </c>
      <c r="I26" s="4">
        <f t="shared" si="7"/>
        <v>0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  <c r="CR26" s="4" t="s">
        <v>7</v>
      </c>
      <c r="CS26" s="4" t="s">
        <v>7</v>
      </c>
      <c r="CT26" s="4" t="s">
        <v>7</v>
      </c>
    </row>
    <row r="27" spans="1:98" x14ac:dyDescent="0.2">
      <c r="A27" s="2" t="s">
        <v>37</v>
      </c>
      <c r="B27" s="4">
        <f t="shared" ref="B27:B29" si="11">COUNTA(K27:VQ27)</f>
        <v>78</v>
      </c>
      <c r="C27" s="4">
        <f t="shared" ref="C27:C29" si="12">COUNTIF(K27:VQ27,"P")</f>
        <v>49</v>
      </c>
      <c r="D27" s="6">
        <f t="shared" ref="D27:D29" si="13">COUNTIF(K27:VQ27,"REP")</f>
        <v>6</v>
      </c>
      <c r="E27" s="4">
        <f t="shared" ref="E27:E29" si="14">COUNTIF(K27:VR27,"A")</f>
        <v>0</v>
      </c>
      <c r="F27" s="4">
        <f t="shared" ref="F27:F29" si="15">COUNTIF(K27:VS27,"B")</f>
        <v>0</v>
      </c>
      <c r="G27" s="4">
        <f t="shared" ref="G27:G29" si="16">COUNTIF(K27:VT27,"M")</f>
        <v>1</v>
      </c>
      <c r="H27" s="4">
        <f t="shared" ref="H27:H29" si="17">COUNTIF(K27:VU27,"R")</f>
        <v>0</v>
      </c>
      <c r="I27" s="4">
        <f t="shared" ref="I27:I29" si="18">COUNTIF(K27:VV27,"RH")</f>
        <v>22</v>
      </c>
      <c r="J27" s="4">
        <f t="shared" ref="J27:J29" si="19">COUNTIF(K27:VV27,"S")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  <c r="CR27" s="4" t="s">
        <v>42</v>
      </c>
      <c r="CS27" s="4" t="s">
        <v>7</v>
      </c>
      <c r="CT27" s="4" t="s">
        <v>7</v>
      </c>
    </row>
    <row r="28" spans="1:98" x14ac:dyDescent="0.2">
      <c r="A28" s="2" t="s">
        <v>44</v>
      </c>
      <c r="B28" s="4">
        <f t="shared" si="11"/>
        <v>56</v>
      </c>
      <c r="C28" s="4">
        <f t="shared" si="12"/>
        <v>55</v>
      </c>
      <c r="D28" s="6">
        <f t="shared" si="13"/>
        <v>1</v>
      </c>
      <c r="E28" s="4">
        <f t="shared" si="14"/>
        <v>0</v>
      </c>
      <c r="F28" s="4">
        <f t="shared" si="15"/>
        <v>0</v>
      </c>
      <c r="G28" s="4">
        <f t="shared" si="16"/>
        <v>0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  <c r="CR28" s="4" t="s">
        <v>7</v>
      </c>
      <c r="CS28" s="4" t="s">
        <v>7</v>
      </c>
      <c r="CT28" s="4" t="s">
        <v>7</v>
      </c>
    </row>
    <row r="29" spans="1:98" x14ac:dyDescent="0.2">
      <c r="A29" s="2" t="s">
        <v>43</v>
      </c>
      <c r="B29" s="4">
        <f t="shared" si="11"/>
        <v>56</v>
      </c>
      <c r="C29" s="4">
        <f t="shared" si="12"/>
        <v>48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  <c r="CR29" s="4" t="s">
        <v>7</v>
      </c>
      <c r="CS29" s="4" t="s">
        <v>7</v>
      </c>
      <c r="CT29" s="4" t="s">
        <v>7</v>
      </c>
    </row>
    <row r="30" spans="1:98" x14ac:dyDescent="0.2">
      <c r="A30" s="2" t="s">
        <v>46</v>
      </c>
      <c r="CT30" s="4" t="s">
        <v>7</v>
      </c>
    </row>
  </sheetData>
  <conditionalFormatting sqref="A21:A30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2026-01-03T15:31:09Z</dcterms:modified>
</cp:coreProperties>
</file>