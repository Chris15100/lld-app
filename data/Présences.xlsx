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B942A32E-62F6-8343-9627-88C73D28F43E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<sst xmlns="http://schemas.openxmlformats.org/spreadsheetml/2006/main" count="3598" uniqueCount="49">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</sst>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ER32"/>
  <sheetViews>
    <sheetView tabSelected="1" workbookViewId="0">
      <pane xSplit="1" topLeftCell="EQ1" activePane="topRight" state="frozen"/>
      <selection pane="topRight" activeCell="EU25" sqref="EU25"/>
    </sheetView>
  </sheetViews>
  <sheetFormatPr baseColWidth="10" defaultRowHeight="16" x14ac:dyDescent="0.2"/>
  <cols>
    <col min="1" max="1" width="17.1640625" customWidth="1"/>
  </cols>
  <sheetData>
    <row r="1" spans="1:148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  <c r="EC1" s="3">
        <v>46091</v>
      </c>
      <c r="ED1" s="3">
        <v>46092</v>
      </c>
      <c r="EE1" s="3">
        <v>46093</v>
      </c>
      <c r="EF1" s="3">
        <v>46097</v>
      </c>
      <c r="EG1" s="3">
        <v>46098</v>
      </c>
      <c r="EH1" s="3">
        <v>46099</v>
      </c>
      <c r="EI1" s="3">
        <v>46101</v>
      </c>
      <c r="EJ1" s="3">
        <v>46105</v>
      </c>
      <c r="EK1" s="3">
        <v>46106</v>
      </c>
      <c r="EL1" s="3">
        <v>46108</v>
      </c>
      <c r="EM1" s="3">
        <v>46112</v>
      </c>
      <c r="EN1" s="3">
        <v>46113</v>
      </c>
      <c r="EO1" s="3">
        <v>46115</v>
      </c>
      <c r="EP1" s="3">
        <v>46119</v>
      </c>
      <c r="EQ1" s="3">
        <v>46120</v>
      </c>
      <c r="ER1" s="3">
        <v>46122</v>
      </c>
    </row>
    <row r="2" spans="1:148" x14ac:dyDescent="0.2">
      <c r="A2" s="2" t="s">
        <v>9</v>
      </c>
      <c r="B2" s="4">
        <f>COUNTA(K2:VR2)</f>
        <v>138</v>
      </c>
      <c r="C2" s="4">
        <f>COUNTIF(K2:VR2,"P")</f>
        <v>134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  <c r="EC2" s="4" t="s">
        <v>7</v>
      </c>
      <c r="ED2" s="4" t="s">
        <v>7</v>
      </c>
      <c r="EE2" s="4" t="s">
        <v>7</v>
      </c>
      <c r="EF2" s="4" t="s">
        <v>7</v>
      </c>
      <c r="EG2" s="4" t="s">
        <v>7</v>
      </c>
      <c r="EH2" s="4" t="s">
        <v>7</v>
      </c>
      <c r="EI2" s="4" t="s">
        <v>7</v>
      </c>
      <c r="EJ2" s="4" t="s">
        <v>7</v>
      </c>
      <c r="EK2" s="4" t="s">
        <v>7</v>
      </c>
      <c r="EL2" s="4" t="s">
        <v>7</v>
      </c>
      <c r="EM2" s="4" t="s">
        <v>7</v>
      </c>
      <c r="EN2" s="4" t="s">
        <v>7</v>
      </c>
      <c r="EO2" s="4" t="s">
        <v>7</v>
      </c>
      <c r="EP2" s="4" t="s">
        <v>7</v>
      </c>
      <c r="EQ2" s="4" t="s">
        <v>7</v>
      </c>
      <c r="ER2" s="4" t="s">
        <v>7</v>
      </c>
    </row>
    <row r="3" spans="1:148" x14ac:dyDescent="0.2">
      <c r="A3" s="2" t="s">
        <v>10</v>
      </c>
      <c r="B3" s="4">
        <f t="shared" ref="B3:B21" si="2">COUNTA(K3:VR3)</f>
        <v>138</v>
      </c>
      <c r="C3" s="4">
        <f t="shared" ref="C3:C21" si="3">COUNTIF(K3:VR3,"P")</f>
        <v>108</v>
      </c>
      <c r="D3" s="6">
        <f t="shared" ref="D3:D26" si="4">COUNTIF(K3:VR3,"REP")</f>
        <v>0</v>
      </c>
      <c r="E3" s="4">
        <f t="shared" si="0"/>
        <v>2</v>
      </c>
      <c r="F3" s="4">
        <f t="shared" si="1"/>
        <v>2</v>
      </c>
      <c r="G3" s="4">
        <f t="shared" ref="G3:G26" si="5">COUNTIF(K3:VU3,"M")</f>
        <v>6</v>
      </c>
      <c r="H3" s="4">
        <f t="shared" ref="H3:H26" si="6">COUNTIF(K3:VV3,"R")</f>
        <v>20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  <c r="EC3" s="4" t="s">
        <v>7</v>
      </c>
      <c r="ED3" s="4" t="s">
        <v>7</v>
      </c>
      <c r="EE3" s="4" t="s">
        <v>7</v>
      </c>
      <c r="EF3" s="4" t="s">
        <v>7</v>
      </c>
      <c r="EG3" s="4" t="s">
        <v>7</v>
      </c>
      <c r="EH3" s="4" t="s">
        <v>7</v>
      </c>
      <c r="EI3" s="4" t="s">
        <v>40</v>
      </c>
      <c r="EJ3" s="4" t="s">
        <v>38</v>
      </c>
      <c r="EK3" s="4" t="s">
        <v>38</v>
      </c>
      <c r="EL3" s="4" t="s">
        <v>40</v>
      </c>
      <c r="EM3" s="4" t="s">
        <v>7</v>
      </c>
      <c r="EN3" s="4" t="s">
        <v>7</v>
      </c>
      <c r="EO3" s="4" t="s">
        <v>40</v>
      </c>
      <c r="EP3" s="4" t="s">
        <v>7</v>
      </c>
      <c r="EQ3" s="4" t="s">
        <v>32</v>
      </c>
      <c r="ER3" s="4" t="s">
        <v>40</v>
      </c>
    </row>
    <row r="4" spans="1:148" x14ac:dyDescent="0.2">
      <c r="A4" s="2" t="s">
        <v>11</v>
      </c>
      <c r="B4" s="4">
        <f t="shared" si="2"/>
        <v>138</v>
      </c>
      <c r="C4" s="4">
        <f t="shared" si="3"/>
        <v>135</v>
      </c>
      <c r="D4" s="6">
        <f t="shared" si="4"/>
        <v>1</v>
      </c>
      <c r="E4" s="4">
        <f t="shared" si="0"/>
        <v>1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  <c r="EC4" s="4" t="s">
        <v>7</v>
      </c>
      <c r="ED4" s="4" t="s">
        <v>7</v>
      </c>
      <c r="EE4" s="4" t="s">
        <v>7</v>
      </c>
      <c r="EF4" s="4" t="s">
        <v>7</v>
      </c>
      <c r="EG4" s="4" t="s">
        <v>7</v>
      </c>
      <c r="EH4" s="4" t="s">
        <v>7</v>
      </c>
      <c r="EI4" s="4" t="s">
        <v>7</v>
      </c>
      <c r="EJ4" s="4" t="s">
        <v>7</v>
      </c>
      <c r="EK4" s="4" t="s">
        <v>7</v>
      </c>
      <c r="EL4" s="4" t="s">
        <v>7</v>
      </c>
      <c r="EM4" s="4" t="s">
        <v>32</v>
      </c>
      <c r="EN4" s="4" t="s">
        <v>7</v>
      </c>
      <c r="EO4" s="4" t="s">
        <v>7</v>
      </c>
      <c r="EP4" s="4" t="s">
        <v>7</v>
      </c>
      <c r="EQ4" s="4" t="s">
        <v>7</v>
      </c>
      <c r="ER4" s="4" t="s">
        <v>7</v>
      </c>
    </row>
    <row r="5" spans="1:148" x14ac:dyDescent="0.2">
      <c r="A5" s="2" t="s">
        <v>12</v>
      </c>
      <c r="B5" s="4">
        <f t="shared" si="2"/>
        <v>138</v>
      </c>
      <c r="C5" s="4">
        <f t="shared" si="3"/>
        <v>105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  <c r="EC5" s="4" t="s">
        <v>7</v>
      </c>
      <c r="ED5" s="4" t="s">
        <v>7</v>
      </c>
      <c r="EE5" s="4" t="s">
        <v>7</v>
      </c>
      <c r="EF5" s="4" t="s">
        <v>7</v>
      </c>
      <c r="EG5" s="4" t="s">
        <v>7</v>
      </c>
      <c r="EH5" s="4" t="s">
        <v>7</v>
      </c>
      <c r="EI5" s="4" t="s">
        <v>7</v>
      </c>
      <c r="EJ5" s="4" t="s">
        <v>7</v>
      </c>
      <c r="EK5" s="4" t="s">
        <v>7</v>
      </c>
      <c r="EL5" s="4" t="s">
        <v>7</v>
      </c>
      <c r="EM5" s="4" t="s">
        <v>7</v>
      </c>
      <c r="EN5" s="4" t="s">
        <v>7</v>
      </c>
      <c r="EO5" s="4" t="s">
        <v>7</v>
      </c>
      <c r="EP5" s="4" t="s">
        <v>7</v>
      </c>
      <c r="EQ5" s="4" t="s">
        <v>7</v>
      </c>
      <c r="ER5" s="4" t="s">
        <v>7</v>
      </c>
    </row>
    <row r="6" spans="1:148" x14ac:dyDescent="0.2">
      <c r="A6" s="2" t="s">
        <v>13</v>
      </c>
      <c r="B6" s="4">
        <f t="shared" si="2"/>
        <v>138</v>
      </c>
      <c r="C6" s="4">
        <f t="shared" si="3"/>
        <v>59</v>
      </c>
      <c r="D6" s="6">
        <f t="shared" si="4"/>
        <v>1</v>
      </c>
      <c r="E6" s="4">
        <f t="shared" si="0"/>
        <v>12</v>
      </c>
      <c r="F6" s="4">
        <f>COUNTIF(K6:VT6,"B")</f>
        <v>46</v>
      </c>
      <c r="G6" s="4">
        <f t="shared" si="5"/>
        <v>4</v>
      </c>
      <c r="H6" s="4">
        <f t="shared" si="6"/>
        <v>7</v>
      </c>
      <c r="I6" s="4">
        <f t="shared" si="7"/>
        <v>9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  <c r="EC6" s="4" t="s">
        <v>7</v>
      </c>
      <c r="ED6" s="4" t="s">
        <v>7</v>
      </c>
      <c r="EE6" s="4" t="s">
        <v>40</v>
      </c>
      <c r="EF6" s="4" t="s">
        <v>32</v>
      </c>
      <c r="EG6" s="4" t="s">
        <v>32</v>
      </c>
      <c r="EH6" s="4" t="s">
        <v>7</v>
      </c>
      <c r="EI6" s="4" t="s">
        <v>40</v>
      </c>
      <c r="EJ6" s="4" t="s">
        <v>7</v>
      </c>
      <c r="EK6" s="4" t="s">
        <v>7</v>
      </c>
      <c r="EL6" s="4" t="s">
        <v>40</v>
      </c>
      <c r="EM6" s="4" t="s">
        <v>35</v>
      </c>
      <c r="EN6" s="4" t="s">
        <v>35</v>
      </c>
      <c r="EO6" s="4" t="s">
        <v>35</v>
      </c>
      <c r="EP6" s="4" t="s">
        <v>32</v>
      </c>
      <c r="EQ6" s="4" t="s">
        <v>32</v>
      </c>
      <c r="ER6" s="4" t="s">
        <v>32</v>
      </c>
    </row>
    <row r="7" spans="1:148" x14ac:dyDescent="0.2">
      <c r="A7" s="2" t="s">
        <v>14</v>
      </c>
      <c r="B7" s="4">
        <f t="shared" si="2"/>
        <v>138</v>
      </c>
      <c r="C7" s="4">
        <f t="shared" si="3"/>
        <v>123</v>
      </c>
      <c r="D7" s="6">
        <f t="shared" si="4"/>
        <v>1</v>
      </c>
      <c r="E7" s="4">
        <f>COUNTIF(K7:VS7,"A")</f>
        <v>2</v>
      </c>
      <c r="F7" s="4">
        <f t="shared" si="1"/>
        <v>10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  <c r="EC7" s="4" t="s">
        <v>7</v>
      </c>
      <c r="ED7" s="4" t="s">
        <v>35</v>
      </c>
      <c r="EE7" s="4" t="s">
        <v>35</v>
      </c>
      <c r="EF7" s="4" t="s">
        <v>7</v>
      </c>
      <c r="EG7" s="4" t="s">
        <v>7</v>
      </c>
      <c r="EH7" s="4" t="s">
        <v>7</v>
      </c>
      <c r="EI7" s="4" t="s">
        <v>7</v>
      </c>
      <c r="EJ7" s="4" t="s">
        <v>7</v>
      </c>
      <c r="EK7" s="4" t="s">
        <v>7</v>
      </c>
      <c r="EL7" s="4" t="s">
        <v>7</v>
      </c>
      <c r="EM7" s="4" t="s">
        <v>7</v>
      </c>
      <c r="EN7" s="4" t="s">
        <v>7</v>
      </c>
      <c r="EO7" s="4" t="s">
        <v>7</v>
      </c>
      <c r="EP7" s="4" t="s">
        <v>7</v>
      </c>
      <c r="EQ7" s="4" t="s">
        <v>7</v>
      </c>
      <c r="ER7" s="4" t="s">
        <v>7</v>
      </c>
    </row>
    <row r="8" spans="1:148" x14ac:dyDescent="0.2">
      <c r="A8" s="2" t="s">
        <v>15</v>
      </c>
      <c r="B8" s="4">
        <f t="shared" si="2"/>
        <v>138</v>
      </c>
      <c r="C8" s="4">
        <f t="shared" si="3"/>
        <v>85</v>
      </c>
      <c r="D8" s="6">
        <f t="shared" si="4"/>
        <v>1</v>
      </c>
      <c r="E8" s="4">
        <f t="shared" si="0"/>
        <v>0</v>
      </c>
      <c r="F8" s="4">
        <f t="shared" si="1"/>
        <v>36</v>
      </c>
      <c r="G8" s="4">
        <f t="shared" si="5"/>
        <v>1</v>
      </c>
      <c r="H8" s="4">
        <f t="shared" si="6"/>
        <v>9</v>
      </c>
      <c r="I8" s="4">
        <f t="shared" si="7"/>
        <v>6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  <c r="EC8" s="4" t="s">
        <v>34</v>
      </c>
      <c r="ED8" s="4" t="s">
        <v>34</v>
      </c>
      <c r="EE8" s="4" t="s">
        <v>34</v>
      </c>
      <c r="EF8" s="4" t="s">
        <v>7</v>
      </c>
      <c r="EG8" s="4" t="s">
        <v>7</v>
      </c>
      <c r="EH8" s="4" t="s">
        <v>7</v>
      </c>
      <c r="EI8" s="4" t="s">
        <v>35</v>
      </c>
      <c r="EJ8" s="4" t="s">
        <v>35</v>
      </c>
      <c r="EK8" s="4" t="s">
        <v>35</v>
      </c>
      <c r="EL8" s="4" t="s">
        <v>35</v>
      </c>
      <c r="EM8" s="4" t="s">
        <v>35</v>
      </c>
      <c r="EN8" s="4" t="s">
        <v>35</v>
      </c>
      <c r="EO8" s="4" t="s">
        <v>35</v>
      </c>
      <c r="EP8" s="4" t="s">
        <v>35</v>
      </c>
      <c r="EQ8" s="4" t="s">
        <v>35</v>
      </c>
      <c r="ER8" s="4" t="s">
        <v>35</v>
      </c>
    </row>
    <row r="9" spans="1:148" x14ac:dyDescent="0.2">
      <c r="A9" s="2" t="s">
        <v>16</v>
      </c>
      <c r="B9" s="4">
        <f t="shared" si="2"/>
        <v>138</v>
      </c>
      <c r="C9" s="4">
        <f t="shared" si="3"/>
        <v>132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  <c r="EC9" s="4" t="s">
        <v>7</v>
      </c>
      <c r="ED9" s="4" t="s">
        <v>7</v>
      </c>
      <c r="EE9" s="4" t="s">
        <v>7</v>
      </c>
      <c r="EF9" s="4" t="s">
        <v>7</v>
      </c>
      <c r="EG9" s="4" t="s">
        <v>7</v>
      </c>
      <c r="EH9" s="4" t="s">
        <v>7</v>
      </c>
      <c r="EI9" s="4" t="s">
        <v>7</v>
      </c>
      <c r="EJ9" s="4" t="s">
        <v>7</v>
      </c>
      <c r="EK9" s="4" t="s">
        <v>7</v>
      </c>
      <c r="EL9" s="4" t="s">
        <v>7</v>
      </c>
      <c r="EM9" s="4" t="s">
        <v>7</v>
      </c>
      <c r="EN9" s="4" t="s">
        <v>7</v>
      </c>
      <c r="EO9" s="4" t="s">
        <v>7</v>
      </c>
      <c r="EP9" s="4" t="s">
        <v>7</v>
      </c>
      <c r="EQ9" s="4" t="s">
        <v>7</v>
      </c>
      <c r="ER9" s="4" t="s">
        <v>7</v>
      </c>
    </row>
    <row r="10" spans="1:148" x14ac:dyDescent="0.2">
      <c r="A10" s="2" t="s">
        <v>17</v>
      </c>
      <c r="B10" s="4">
        <f t="shared" si="2"/>
        <v>138</v>
      </c>
      <c r="C10" s="4">
        <f t="shared" si="3"/>
        <v>119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  <c r="EC10" s="4" t="s">
        <v>7</v>
      </c>
      <c r="ED10" s="4" t="s">
        <v>7</v>
      </c>
      <c r="EE10" s="4" t="s">
        <v>7</v>
      </c>
      <c r="EF10" s="4" t="s">
        <v>7</v>
      </c>
      <c r="EG10" s="4" t="s">
        <v>7</v>
      </c>
      <c r="EH10" s="4" t="s">
        <v>7</v>
      </c>
      <c r="EI10" s="4" t="s">
        <v>7</v>
      </c>
      <c r="EJ10" s="4" t="s">
        <v>7</v>
      </c>
      <c r="EK10" s="4" t="s">
        <v>7</v>
      </c>
      <c r="EL10" s="4" t="s">
        <v>7</v>
      </c>
      <c r="EM10" s="4" t="s">
        <v>7</v>
      </c>
      <c r="EN10" s="4" t="s">
        <v>7</v>
      </c>
      <c r="EO10" s="4" t="s">
        <v>7</v>
      </c>
      <c r="EP10" s="4" t="s">
        <v>7</v>
      </c>
      <c r="EQ10" s="4" t="s">
        <v>7</v>
      </c>
      <c r="ER10" s="4" t="s">
        <v>7</v>
      </c>
    </row>
    <row r="11" spans="1:148" x14ac:dyDescent="0.2">
      <c r="A11" s="2" t="s">
        <v>18</v>
      </c>
      <c r="B11" s="4">
        <f t="shared" si="2"/>
        <v>138</v>
      </c>
      <c r="C11" s="4">
        <f t="shared" si="3"/>
        <v>127</v>
      </c>
      <c r="D11" s="6">
        <f t="shared" si="4"/>
        <v>1</v>
      </c>
      <c r="E11" s="4">
        <f t="shared" si="0"/>
        <v>0</v>
      </c>
      <c r="F11" s="4">
        <f t="shared" si="1"/>
        <v>9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  <c r="EC11" s="4" t="s">
        <v>7</v>
      </c>
      <c r="ED11" s="4" t="s">
        <v>7</v>
      </c>
      <c r="EE11" s="4" t="s">
        <v>7</v>
      </c>
      <c r="EF11" s="4" t="s">
        <v>7</v>
      </c>
      <c r="EG11" s="4" t="s">
        <v>7</v>
      </c>
      <c r="EH11" s="4" t="s">
        <v>7</v>
      </c>
      <c r="EI11" s="4" t="s">
        <v>7</v>
      </c>
      <c r="EJ11" s="4" t="s">
        <v>7</v>
      </c>
      <c r="EK11" s="4" t="s">
        <v>7</v>
      </c>
      <c r="EL11" s="4" t="s">
        <v>7</v>
      </c>
      <c r="EM11" s="4" t="s">
        <v>35</v>
      </c>
      <c r="EN11" s="4" t="s">
        <v>35</v>
      </c>
      <c r="EO11" s="4" t="s">
        <v>35</v>
      </c>
      <c r="EP11" s="4" t="s">
        <v>35</v>
      </c>
      <c r="EQ11" s="4" t="s">
        <v>7</v>
      </c>
      <c r="ER11" s="4" t="s">
        <v>7</v>
      </c>
    </row>
    <row r="12" spans="1:148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48" x14ac:dyDescent="0.2">
      <c r="A13" s="2" t="s">
        <v>20</v>
      </c>
      <c r="B13" s="4">
        <f t="shared" si="2"/>
        <v>138</v>
      </c>
      <c r="C13" s="4">
        <f t="shared" si="3"/>
        <v>22</v>
      </c>
      <c r="D13" s="6">
        <f t="shared" si="4"/>
        <v>3</v>
      </c>
      <c r="E13" s="4">
        <f t="shared" si="0"/>
        <v>1</v>
      </c>
      <c r="F13" s="4">
        <f t="shared" si="1"/>
        <v>91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  <c r="EC13" s="4" t="s">
        <v>35</v>
      </c>
      <c r="ED13" s="4" t="s">
        <v>35</v>
      </c>
      <c r="EE13" s="4" t="s">
        <v>35</v>
      </c>
      <c r="EF13" s="4" t="s">
        <v>35</v>
      </c>
      <c r="EG13" s="4" t="s">
        <v>35</v>
      </c>
      <c r="EH13" s="4" t="s">
        <v>35</v>
      </c>
      <c r="EI13" s="4" t="s">
        <v>35</v>
      </c>
      <c r="EJ13" s="4" t="s">
        <v>35</v>
      </c>
      <c r="EK13" s="4" t="s">
        <v>35</v>
      </c>
      <c r="EL13" s="4" t="s">
        <v>35</v>
      </c>
      <c r="EM13" s="4" t="s">
        <v>35</v>
      </c>
      <c r="EN13" s="4" t="s">
        <v>35</v>
      </c>
      <c r="EO13" s="4" t="s">
        <v>35</v>
      </c>
      <c r="EP13" s="4" t="s">
        <v>7</v>
      </c>
      <c r="EQ13" s="4" t="s">
        <v>7</v>
      </c>
      <c r="ER13" s="4" t="s">
        <v>42</v>
      </c>
    </row>
    <row r="14" spans="1:148" x14ac:dyDescent="0.2">
      <c r="A14" s="2" t="s">
        <v>21</v>
      </c>
      <c r="B14" s="4">
        <f t="shared" si="2"/>
        <v>138</v>
      </c>
      <c r="C14" s="4">
        <f t="shared" si="3"/>
        <v>137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  <c r="EC14" s="4" t="s">
        <v>7</v>
      </c>
      <c r="ED14" s="4" t="s">
        <v>7</v>
      </c>
      <c r="EE14" s="4" t="s">
        <v>7</v>
      </c>
      <c r="EF14" s="4" t="s">
        <v>7</v>
      </c>
      <c r="EG14" s="4" t="s">
        <v>7</v>
      </c>
      <c r="EH14" s="4" t="s">
        <v>7</v>
      </c>
      <c r="EI14" s="4" t="s">
        <v>7</v>
      </c>
      <c r="EJ14" s="4" t="s">
        <v>7</v>
      </c>
      <c r="EK14" s="4" t="s">
        <v>7</v>
      </c>
      <c r="EL14" s="4" t="s">
        <v>7</v>
      </c>
      <c r="EM14" s="4" t="s">
        <v>7</v>
      </c>
      <c r="EN14" s="4" t="s">
        <v>7</v>
      </c>
      <c r="EO14" s="4" t="s">
        <v>7</v>
      </c>
      <c r="EP14" s="4" t="s">
        <v>7</v>
      </c>
      <c r="EQ14" s="4" t="s">
        <v>7</v>
      </c>
      <c r="ER14" s="4" t="s">
        <v>7</v>
      </c>
    </row>
    <row r="15" spans="1:148" x14ac:dyDescent="0.2">
      <c r="A15" s="2" t="s">
        <v>22</v>
      </c>
      <c r="B15" s="4">
        <f t="shared" si="2"/>
        <v>138</v>
      </c>
      <c r="C15" s="4">
        <f t="shared" si="3"/>
        <v>130</v>
      </c>
      <c r="D15" s="6">
        <f t="shared" si="4"/>
        <v>0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  <c r="EC15" s="4" t="s">
        <v>7</v>
      </c>
      <c r="ED15" s="4" t="s">
        <v>7</v>
      </c>
      <c r="EE15" s="4" t="s">
        <v>7</v>
      </c>
      <c r="EF15" s="4" t="s">
        <v>7</v>
      </c>
      <c r="EG15" s="4" t="s">
        <v>7</v>
      </c>
      <c r="EH15" s="4" t="s">
        <v>7</v>
      </c>
      <c r="EI15" s="4" t="s">
        <v>7</v>
      </c>
      <c r="EJ15" s="4" t="s">
        <v>7</v>
      </c>
      <c r="EK15" s="4" t="s">
        <v>7</v>
      </c>
      <c r="EL15" s="4" t="s">
        <v>7</v>
      </c>
      <c r="EM15" s="4" t="s">
        <v>7</v>
      </c>
      <c r="EN15" s="4" t="s">
        <v>7</v>
      </c>
      <c r="EO15" s="4" t="s">
        <v>7</v>
      </c>
      <c r="EP15" s="4" t="s">
        <v>7</v>
      </c>
      <c r="EQ15" s="4" t="s">
        <v>7</v>
      </c>
      <c r="ER15" s="4" t="s">
        <v>7</v>
      </c>
    </row>
    <row r="16" spans="1:148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</row>
    <row r="17" spans="1:148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</row>
    <row r="18" spans="1:148" x14ac:dyDescent="0.2">
      <c r="A18" s="2" t="s">
        <v>25</v>
      </c>
      <c r="B18" s="4">
        <f t="shared" si="2"/>
        <v>138</v>
      </c>
      <c r="C18" s="4">
        <f t="shared" si="3"/>
        <v>114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  <c r="EC18" s="4" t="s">
        <v>7</v>
      </c>
      <c r="ED18" s="4" t="s">
        <v>7</v>
      </c>
      <c r="EE18" s="4" t="s">
        <v>7</v>
      </c>
      <c r="EF18" s="4" t="s">
        <v>7</v>
      </c>
      <c r="EG18" s="4" t="s">
        <v>7</v>
      </c>
      <c r="EH18" s="4" t="s">
        <v>7</v>
      </c>
      <c r="EI18" s="4" t="s">
        <v>7</v>
      </c>
      <c r="EJ18" s="4" t="s">
        <v>7</v>
      </c>
      <c r="EK18" s="4" t="s">
        <v>7</v>
      </c>
      <c r="EL18" s="4" t="s">
        <v>7</v>
      </c>
      <c r="EM18" s="4" t="s">
        <v>7</v>
      </c>
      <c r="EN18" s="4" t="s">
        <v>7</v>
      </c>
      <c r="EO18" s="4" t="s">
        <v>7</v>
      </c>
      <c r="EP18" s="4" t="s">
        <v>7</v>
      </c>
      <c r="EQ18" s="4" t="s">
        <v>7</v>
      </c>
      <c r="ER18" s="4" t="s">
        <v>7</v>
      </c>
    </row>
    <row r="19" spans="1:148" x14ac:dyDescent="0.2">
      <c r="A19" s="2" t="s">
        <v>26</v>
      </c>
      <c r="B19" s="4">
        <f t="shared" si="2"/>
        <v>138</v>
      </c>
      <c r="C19" s="4">
        <f t="shared" si="3"/>
        <v>122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  <c r="EC19" s="4" t="s">
        <v>7</v>
      </c>
      <c r="ED19" s="4" t="s">
        <v>7</v>
      </c>
      <c r="EE19" s="4" t="s">
        <v>7</v>
      </c>
      <c r="EF19" s="4" t="s">
        <v>7</v>
      </c>
      <c r="EG19" s="4" t="s">
        <v>7</v>
      </c>
      <c r="EH19" s="4" t="s">
        <v>7</v>
      </c>
      <c r="EI19" s="4" t="s">
        <v>7</v>
      </c>
      <c r="EJ19" s="4" t="s">
        <v>7</v>
      </c>
      <c r="EK19" s="4" t="s">
        <v>7</v>
      </c>
      <c r="EL19" s="4" t="s">
        <v>7</v>
      </c>
      <c r="EM19" s="4" t="s">
        <v>7</v>
      </c>
      <c r="EN19" s="4" t="s">
        <v>7</v>
      </c>
      <c r="EO19" s="4" t="s">
        <v>7</v>
      </c>
      <c r="EP19" s="4" t="s">
        <v>7</v>
      </c>
      <c r="EQ19" s="4" t="s">
        <v>7</v>
      </c>
      <c r="ER19" s="4" t="s">
        <v>7</v>
      </c>
    </row>
    <row r="20" spans="1:148" x14ac:dyDescent="0.2">
      <c r="A20" s="2" t="s">
        <v>27</v>
      </c>
      <c r="B20" s="4">
        <f t="shared" si="2"/>
        <v>138</v>
      </c>
      <c r="C20" s="4">
        <f t="shared" si="3"/>
        <v>128</v>
      </c>
      <c r="D20" s="6">
        <f t="shared" si="4"/>
        <v>0</v>
      </c>
      <c r="E20" s="4">
        <f t="shared" si="0"/>
        <v>0</v>
      </c>
      <c r="F20" s="4">
        <f t="shared" si="1"/>
        <v>9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  <c r="EC20" s="4" t="s">
        <v>7</v>
      </c>
      <c r="ED20" s="4" t="s">
        <v>7</v>
      </c>
      <c r="EE20" s="4" t="s">
        <v>7</v>
      </c>
      <c r="EF20" s="4" t="s">
        <v>7</v>
      </c>
      <c r="EG20" s="4" t="s">
        <v>7</v>
      </c>
      <c r="EH20" s="4" t="s">
        <v>7</v>
      </c>
      <c r="EI20" s="4" t="s">
        <v>7</v>
      </c>
      <c r="EJ20" s="4" t="s">
        <v>7</v>
      </c>
      <c r="EK20" s="4" t="s">
        <v>7</v>
      </c>
      <c r="EL20" s="4" t="s">
        <v>7</v>
      </c>
      <c r="EM20" s="4" t="s">
        <v>35</v>
      </c>
      <c r="EN20" s="4" t="s">
        <v>35</v>
      </c>
      <c r="EO20" s="4" t="s">
        <v>35</v>
      </c>
      <c r="EP20" s="4" t="s">
        <v>35</v>
      </c>
      <c r="EQ20" s="4" t="s">
        <v>35</v>
      </c>
      <c r="ER20" s="4" t="s">
        <v>35</v>
      </c>
    </row>
    <row r="21" spans="1:148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48" x14ac:dyDescent="0.2">
      <c r="A22" s="4" t="s">
        <v>29</v>
      </c>
      <c r="B22" s="4">
        <f t="shared" ref="B22:B26" si="9">COUNTA(K22:VR22)</f>
        <v>138</v>
      </c>
      <c r="C22" s="4">
        <f t="shared" ref="C22:C26" si="10">COUNTIF(K22:VR22,"P")</f>
        <v>129</v>
      </c>
      <c r="D22" s="6">
        <f t="shared" si="4"/>
        <v>7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  <c r="EC22" s="4" t="s">
        <v>7</v>
      </c>
      <c r="ED22" s="4" t="s">
        <v>7</v>
      </c>
      <c r="EE22" s="4" t="s">
        <v>7</v>
      </c>
      <c r="EF22" s="4" t="s">
        <v>7</v>
      </c>
      <c r="EG22" s="4" t="s">
        <v>7</v>
      </c>
      <c r="EH22" s="4" t="s">
        <v>7</v>
      </c>
      <c r="EI22" s="4" t="s">
        <v>7</v>
      </c>
      <c r="EJ22" s="4" t="s">
        <v>7</v>
      </c>
      <c r="EK22" s="4" t="s">
        <v>7</v>
      </c>
      <c r="EL22" s="4" t="s">
        <v>7</v>
      </c>
      <c r="EM22" s="4" t="s">
        <v>7</v>
      </c>
      <c r="EN22" s="4" t="s">
        <v>7</v>
      </c>
      <c r="EO22" s="4" t="s">
        <v>7</v>
      </c>
      <c r="EP22" s="4" t="s">
        <v>42</v>
      </c>
      <c r="EQ22" s="4" t="s">
        <v>42</v>
      </c>
      <c r="ER22" s="4" t="s">
        <v>42</v>
      </c>
    </row>
    <row r="23" spans="1:148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48" x14ac:dyDescent="0.2">
      <c r="A24" s="2" t="s">
        <v>31</v>
      </c>
      <c r="B24" s="4">
        <f t="shared" si="9"/>
        <v>138</v>
      </c>
      <c r="C24" s="4">
        <f t="shared" si="10"/>
        <v>130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  <c r="EC24" s="4" t="s">
        <v>7</v>
      </c>
      <c r="ED24" s="4" t="s">
        <v>7</v>
      </c>
      <c r="EE24" s="4" t="s">
        <v>7</v>
      </c>
      <c r="EF24" s="4" t="s">
        <v>7</v>
      </c>
      <c r="EG24" s="4" t="s">
        <v>7</v>
      </c>
      <c r="EH24" s="4" t="s">
        <v>7</v>
      </c>
      <c r="EI24" s="4" t="s">
        <v>7</v>
      </c>
      <c r="EJ24" s="4" t="s">
        <v>7</v>
      </c>
      <c r="EK24" s="4" t="s">
        <v>7</v>
      </c>
      <c r="EL24" s="4" t="s">
        <v>7</v>
      </c>
      <c r="EM24" s="4" t="s">
        <v>7</v>
      </c>
      <c r="EN24" s="4" t="s">
        <v>7</v>
      </c>
      <c r="EO24" s="4" t="s">
        <v>7</v>
      </c>
      <c r="EP24" s="4" t="s">
        <v>7</v>
      </c>
      <c r="EQ24" s="4" t="s">
        <v>7</v>
      </c>
      <c r="ER24" s="4" t="s">
        <v>7</v>
      </c>
    </row>
    <row r="25" spans="1:148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</row>
    <row r="26" spans="1:148" x14ac:dyDescent="0.2">
      <c r="A26" s="2" t="s">
        <v>36</v>
      </c>
      <c r="B26" s="4">
        <f t="shared" si="9"/>
        <v>138</v>
      </c>
      <c r="C26" s="4">
        <f t="shared" si="10"/>
        <v>124</v>
      </c>
      <c r="D26" s="6">
        <f t="shared" si="4"/>
        <v>0</v>
      </c>
      <c r="E26" s="4">
        <f t="shared" si="0"/>
        <v>4</v>
      </c>
      <c r="F26" s="4">
        <f t="shared" si="1"/>
        <v>4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  <c r="EC26" s="4" t="s">
        <v>7</v>
      </c>
      <c r="ED26" s="4" t="s">
        <v>7</v>
      </c>
      <c r="EE26" s="4" t="s">
        <v>7</v>
      </c>
      <c r="EF26" s="4" t="s">
        <v>35</v>
      </c>
      <c r="EG26" s="4" t="s">
        <v>7</v>
      </c>
      <c r="EH26" s="4" t="s">
        <v>7</v>
      </c>
      <c r="EI26" s="4" t="s">
        <v>7</v>
      </c>
      <c r="EJ26" s="4" t="s">
        <v>7</v>
      </c>
      <c r="EK26" s="4" t="s">
        <v>7</v>
      </c>
      <c r="EL26" s="4" t="s">
        <v>7</v>
      </c>
      <c r="EM26" s="4" t="s">
        <v>7</v>
      </c>
      <c r="EN26" s="4" t="s">
        <v>7</v>
      </c>
      <c r="EO26" s="4" t="s">
        <v>7</v>
      </c>
      <c r="EP26" s="4" t="s">
        <v>7</v>
      </c>
      <c r="EQ26" s="4" t="s">
        <v>7</v>
      </c>
      <c r="ER26" s="4" t="s">
        <v>7</v>
      </c>
    </row>
    <row r="27" spans="1:148" x14ac:dyDescent="0.2">
      <c r="A27" s="2" t="s">
        <v>37</v>
      </c>
      <c r="B27" s="4">
        <f t="shared" ref="B27:B29" si="11">COUNTA(K27:VR27)</f>
        <v>128</v>
      </c>
      <c r="C27" s="4">
        <f t="shared" ref="C27:C29" si="12">COUNTIF(K27:VR27,"P")</f>
        <v>94</v>
      </c>
      <c r="D27" s="6">
        <f t="shared" ref="D27:D29" si="13">COUNTIF(K27:VR27,"REP")</f>
        <v>8</v>
      </c>
      <c r="E27" s="4">
        <f t="shared" ref="E27:E29" si="14">COUNTIF(K27:VS27,"A")</f>
        <v>0</v>
      </c>
      <c r="F27" s="4">
        <f t="shared" ref="F27:F29" si="15">COUNTIF(K27:VT27,"B")</f>
        <v>3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  <c r="EC27" s="4" t="s">
        <v>7</v>
      </c>
      <c r="ED27" s="4" t="s">
        <v>7</v>
      </c>
      <c r="EE27" s="4" t="s">
        <v>7</v>
      </c>
      <c r="EF27" s="4" t="s">
        <v>7</v>
      </c>
      <c r="EG27" s="4" t="s">
        <v>7</v>
      </c>
      <c r="EH27" s="4" t="s">
        <v>7</v>
      </c>
      <c r="EI27" s="4" t="s">
        <v>7</v>
      </c>
      <c r="EJ27" s="4" t="s">
        <v>35</v>
      </c>
      <c r="EK27" s="4" t="s">
        <v>35</v>
      </c>
      <c r="EL27" s="4" t="s">
        <v>35</v>
      </c>
      <c r="EM27" s="4" t="s">
        <v>7</v>
      </c>
      <c r="EN27" s="4" t="s">
        <v>7</v>
      </c>
      <c r="EO27" s="4" t="s">
        <v>7</v>
      </c>
      <c r="EP27" s="4" t="s">
        <v>7</v>
      </c>
      <c r="EQ27" s="4" t="s">
        <v>7</v>
      </c>
      <c r="ER27" s="4" t="s">
        <v>42</v>
      </c>
    </row>
    <row r="28" spans="1:148" x14ac:dyDescent="0.2">
      <c r="A28" s="2" t="s">
        <v>44</v>
      </c>
      <c r="B28" s="4">
        <f t="shared" si="11"/>
        <v>97</v>
      </c>
      <c r="C28" s="4">
        <f t="shared" si="12"/>
        <v>94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  <c r="EC28" s="4" t="s">
        <v>7</v>
      </c>
      <c r="ED28" s="4" t="s">
        <v>7</v>
      </c>
      <c r="EE28" s="4" t="s">
        <v>7</v>
      </c>
      <c r="EF28" s="4" t="s">
        <v>7</v>
      </c>
      <c r="EG28" s="4" t="s">
        <v>7</v>
      </c>
      <c r="EH28" s="4" t="s">
        <v>7</v>
      </c>
      <c r="EI28" s="4" t="s">
        <v>7</v>
      </c>
      <c r="EJ28" s="4"/>
      <c r="EK28" s="4"/>
      <c r="EL28" s="4"/>
      <c r="EM28" s="4"/>
      <c r="EN28" s="4"/>
      <c r="EO28" s="4"/>
      <c r="EP28" s="4"/>
      <c r="EQ28" s="4"/>
      <c r="ER28" s="4"/>
    </row>
    <row r="29" spans="1:148" x14ac:dyDescent="0.2">
      <c r="A29" s="2" t="s">
        <v>43</v>
      </c>
      <c r="B29" s="4">
        <f t="shared" si="11"/>
        <v>106</v>
      </c>
      <c r="C29" s="4">
        <f t="shared" si="12"/>
        <v>98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  <c r="EC29" s="4" t="s">
        <v>7</v>
      </c>
      <c r="ED29" s="4" t="s">
        <v>7</v>
      </c>
      <c r="EE29" s="4" t="s">
        <v>7</v>
      </c>
      <c r="EF29" s="4" t="s">
        <v>7</v>
      </c>
      <c r="EG29" s="4" t="s">
        <v>7</v>
      </c>
      <c r="EH29" s="4" t="s">
        <v>7</v>
      </c>
      <c r="EI29" s="4" t="s">
        <v>7</v>
      </c>
      <c r="EJ29" s="4" t="s">
        <v>7</v>
      </c>
      <c r="EK29" s="4" t="s">
        <v>7</v>
      </c>
      <c r="EL29" s="4" t="s">
        <v>7</v>
      </c>
      <c r="EM29" s="4" t="s">
        <v>7</v>
      </c>
      <c r="EN29" s="4" t="s">
        <v>7</v>
      </c>
      <c r="EO29" s="4" t="s">
        <v>7</v>
      </c>
      <c r="EP29" s="4" t="s">
        <v>7</v>
      </c>
      <c r="EQ29" s="4" t="s">
        <v>7</v>
      </c>
      <c r="ER29" s="4" t="s">
        <v>7</v>
      </c>
    </row>
    <row r="30" spans="1:148" x14ac:dyDescent="0.2">
      <c r="A30" s="2" t="s">
        <v>46</v>
      </c>
      <c r="B30" s="4">
        <f t="shared" ref="B30" si="20">COUNTA(K30:VR30)</f>
        <v>51</v>
      </c>
      <c r="C30" s="4">
        <f t="shared" ref="C30" si="21">COUNTIF(K30:VR30,"P")</f>
        <v>44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5</v>
      </c>
      <c r="G30" s="4">
        <f t="shared" ref="G30" si="25">COUNTIF(K30:VU30,"M")</f>
        <v>2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  <c r="EC30" s="4" t="s">
        <v>7</v>
      </c>
      <c r="ED30" s="4" t="s">
        <v>7</v>
      </c>
      <c r="EE30" s="4" t="s">
        <v>7</v>
      </c>
      <c r="EF30" s="4" t="s">
        <v>7</v>
      </c>
      <c r="EG30" s="4" t="s">
        <v>7</v>
      </c>
      <c r="EH30" s="4" t="s">
        <v>7</v>
      </c>
      <c r="EI30" s="4" t="s">
        <v>7</v>
      </c>
      <c r="EJ30" s="4" t="s">
        <v>38</v>
      </c>
      <c r="EK30" s="4" t="s">
        <v>38</v>
      </c>
      <c r="EL30" s="4" t="s">
        <v>7</v>
      </c>
      <c r="EM30" s="4" t="s">
        <v>7</v>
      </c>
      <c r="EN30" s="4" t="s">
        <v>35</v>
      </c>
      <c r="EO30" s="4" t="s">
        <v>35</v>
      </c>
      <c r="EP30" s="4" t="s">
        <v>35</v>
      </c>
      <c r="EQ30" s="4" t="s">
        <v>35</v>
      </c>
      <c r="ER30" s="4" t="s">
        <v>35</v>
      </c>
    </row>
    <row r="31" spans="1:148" x14ac:dyDescent="0.2">
      <c r="A31" s="2" t="s">
        <v>48</v>
      </c>
      <c r="B31" s="4">
        <f t="shared" ref="B31" si="29">COUNTA(K31:VR31)</f>
        <v>39</v>
      </c>
      <c r="C31" s="4">
        <f t="shared" ref="C31" si="30">COUNTIF(K31:VR31,"P")</f>
        <v>34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3</v>
      </c>
      <c r="G31" s="4">
        <f t="shared" ref="G31" si="34">COUNTIF(K31:VU31,"M")</f>
        <v>1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  <c r="EC31" s="4" t="s">
        <v>38</v>
      </c>
      <c r="ED31" s="4" t="s">
        <v>7</v>
      </c>
      <c r="EE31" s="4" t="s">
        <v>7</v>
      </c>
      <c r="EF31" s="4" t="s">
        <v>7</v>
      </c>
      <c r="EG31" s="4" t="s">
        <v>35</v>
      </c>
      <c r="EH31" s="4" t="s">
        <v>35</v>
      </c>
      <c r="EI31" s="4" t="s">
        <v>35</v>
      </c>
      <c r="EJ31" s="4" t="s">
        <v>7</v>
      </c>
      <c r="EK31" s="4" t="s">
        <v>7</v>
      </c>
      <c r="EL31" s="4" t="s">
        <v>7</v>
      </c>
      <c r="EM31" s="4" t="s">
        <v>7</v>
      </c>
      <c r="EN31" s="4" t="s">
        <v>7</v>
      </c>
      <c r="EO31" s="4" t="s">
        <v>7</v>
      </c>
      <c r="EP31" s="4" t="s">
        <v>7</v>
      </c>
      <c r="EQ31" s="4" t="s">
        <v>7</v>
      </c>
      <c r="ER31" s="4" t="s">
        <v>7</v>
      </c>
    </row>
    <row r="32" spans="1:148" x14ac:dyDescent="0.2">
      <c r="A32" s="2" t="s">
        <v>47</v>
      </c>
      <c r="B32" s="4">
        <f t="shared" ref="B32" si="38">COUNTA(K32:VR32)</f>
        <v>35</v>
      </c>
      <c r="C32" s="4">
        <f t="shared" ref="C32" si="39">COUNTIF(K32:VR32,"P")</f>
        <v>34</v>
      </c>
      <c r="D32" s="6">
        <f t="shared" ref="D32" si="40">COUNTIF(K32:VR32,"REP")</f>
        <v>0</v>
      </c>
      <c r="E32" s="4">
        <f t="shared" ref="E32" si="41">COUNTIF(K32:VS32,"A")</f>
        <v>1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  <c r="EC32" s="4" t="s">
        <v>32</v>
      </c>
      <c r="ED32" s="4" t="s">
        <v>7</v>
      </c>
      <c r="EE32" s="4" t="s">
        <v>7</v>
      </c>
      <c r="EF32" s="4" t="s">
        <v>7</v>
      </c>
      <c r="EG32" s="4" t="s">
        <v>7</v>
      </c>
      <c r="EH32" s="4" t="s">
        <v>7</v>
      </c>
      <c r="EI32" s="4" t="s">
        <v>7</v>
      </c>
      <c r="EJ32" s="4" t="s">
        <v>7</v>
      </c>
      <c r="EK32" s="4" t="s">
        <v>7</v>
      </c>
      <c r="EL32" s="4" t="s">
        <v>7</v>
      </c>
      <c r="EM32" s="4" t="s">
        <v>7</v>
      </c>
      <c r="EN32" s="4" t="s">
        <v>7</v>
      </c>
      <c r="EO32" s="4" t="s">
        <v>7</v>
      </c>
      <c r="EP32" s="4" t="s">
        <v>7</v>
      </c>
      <c r="EQ32" s="4" t="s">
        <v>7</v>
      </c>
      <c r="ER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2026-04-10T13:26:38Z</dcterms:modified>
</cp:coreProperties>
</file>