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5D2511EE-CC5D-6741-8C57-2D07C99543DD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<sst xmlns="http://schemas.openxmlformats.org/spreadsheetml/2006/main" count="2957" uniqueCount="49">
  <si>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</si>
  <si>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</si>
  <si>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</si>
  <si>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</si>
  <si>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</si>
  <si>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</si>
  <si>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</si>
  <si>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</si>
  <si>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</si>
  <si>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</si>
  <si>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</si>
  <si>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</si>
  <si>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</si>
  <si>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</si>
  <si>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</si>
  <si>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</si>
  <si>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</si>
  <si>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</si>
  <si>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</si>
  <si>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</si>
  <si>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</si>
  <si>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</si>
  <si>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</si>
  <si>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</si>
  <si>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</si>
  <si>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</si>
  <si>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</si>
  <si>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</si>
  <si>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</si>
  <si>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</si>
  <si>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</si>
  <si>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</si>
  <si>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</si>
  <si>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</si>
  <si>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</si>
  <si>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</si>
  <si>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</si>
  <si>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</si>
  <si>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</si>
  <si>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</si>
  <si>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</si>
  <si>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</si>
  <si>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</si>
  <si>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</si>
  <si>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</si>
  <si>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</si>
  <si>
    <t>Theo Owono</t>
  </si>
  <si>
    <t>Nathanael Beta</t>
  </si>
  <si>
    <t xml:space="preserve">Mehdi Boussaid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</si>
</sst>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DR32"/>
  <sheetViews>
    <sheetView tabSelected="1" workbookViewId="0">
      <pane xSplit="1" topLeftCell="DQ1" activePane="topRight" state="frozen"/>
      <selection pane="topRight" activeCell="DT29" sqref="DT29"/>
    </sheetView>
  </sheetViews>
  <sheetFormatPr baseColWidth="10" defaultRowHeight="16" x14ac:dyDescent="0.2"/>
  <cols>
    <col min="1" max="1" width="17.1640625" customWidth="1"/>
  </cols>
  <sheetData>
    <row r="1" spans="1:122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  <c r="CA1" s="5">
        <v>45976</v>
      </c>
      <c r="CB1" s="5">
        <v>45979</v>
      </c>
      <c r="CC1" s="5">
        <v>45980</v>
      </c>
      <c r="CD1" s="5">
        <v>45981</v>
      </c>
      <c r="CE1" s="5">
        <v>45982</v>
      </c>
      <c r="CF1" s="5">
        <v>45986</v>
      </c>
      <c r="CG1" s="5">
        <v>45987</v>
      </c>
      <c r="CH1" s="5">
        <v>45988</v>
      </c>
      <c r="CI1" s="5">
        <v>45989</v>
      </c>
      <c r="CJ1" s="5">
        <v>45993</v>
      </c>
      <c r="CK1" s="5">
        <v>45994</v>
      </c>
      <c r="CL1" s="5">
        <v>45996</v>
      </c>
      <c r="CM1" s="5">
        <v>46000</v>
      </c>
      <c r="CN1" s="5">
        <v>46002</v>
      </c>
      <c r="CO1" s="5">
        <v>46003</v>
      </c>
      <c r="CP1" s="5">
        <v>46007</v>
      </c>
      <c r="CQ1" s="5">
        <v>46008</v>
      </c>
      <c r="CR1" s="5">
        <v>46009</v>
      </c>
      <c r="CS1" s="5">
        <v>46010</v>
      </c>
      <c r="CT1" s="5">
        <v>46024</v>
      </c>
      <c r="CU1" s="5">
        <v>46027</v>
      </c>
      <c r="CV1" s="5">
        <v>46028</v>
      </c>
      <c r="CW1" s="5">
        <v>46029</v>
      </c>
      <c r="CX1" s="5">
        <v>46030</v>
      </c>
      <c r="CY1" s="3">
        <v>46034</v>
      </c>
      <c r="CZ1" s="3">
        <v>46035</v>
      </c>
      <c r="DA1" s="3">
        <v>46036</v>
      </c>
      <c r="DB1" s="3">
        <v>46038</v>
      </c>
      <c r="DC1" s="3">
        <v>46041</v>
      </c>
      <c r="DD1" s="3">
        <v>46042</v>
      </c>
      <c r="DE1" s="3">
        <v>46043</v>
      </c>
      <c r="DF1" s="3">
        <v>46048</v>
      </c>
      <c r="DG1" s="3">
        <v>46049</v>
      </c>
      <c r="DH1" s="3">
        <v>46050</v>
      </c>
      <c r="DI1" s="3">
        <v>46052</v>
      </c>
      <c r="DJ1" s="3">
        <v>46056</v>
      </c>
      <c r="DK1" s="3">
        <v>46057</v>
      </c>
      <c r="DL1" s="3">
        <v>46058</v>
      </c>
      <c r="DM1" s="3">
        <v>46059</v>
      </c>
      <c r="DN1" s="3">
        <v>46063</v>
      </c>
      <c r="DO1" s="3">
        <v>46064</v>
      </c>
      <c r="DP1" s="3">
        <v>46065</v>
      </c>
      <c r="DQ1" s="3">
        <v>46066</v>
      </c>
      <c r="DR1" s="3">
        <v>46070</v>
      </c>
    </row>
    <row r="2" spans="1:122" x14ac:dyDescent="0.2">
      <c r="A2" s="2" t="s">
        <v>9</v>
      </c>
      <c r="B2" s="4">
        <f>COUNTA(K2:VR2)</f>
        <v>112</v>
      </c>
      <c r="C2" s="4">
        <f>COUNTIF(K2:VR2,"P")</f>
        <v>108</v>
      </c>
      <c r="D2" s="6">
        <f>COUNTIF(K2:VR2,"REP")</f>
        <v>0</v>
      </c>
      <c r="E2" s="4">
        <f t="shared" ref="E2:E26" si="0">COUNTIF(K2:VS2,"A")</f>
        <v>0</v>
      </c>
      <c r="F2" s="4">
        <f t="shared" ref="F2:F26" si="1">COUNTIF(K2:VT2,"B")</f>
        <v>4</v>
      </c>
      <c r="G2" s="4">
        <f>COUNTIF(K2:VU2,"M")</f>
        <v>0</v>
      </c>
      <c r="H2" s="4">
        <f>COUNTIF(K2:VV2,"R")</f>
        <v>0</v>
      </c>
      <c r="I2" s="4">
        <f>COUNTIF(K2:VW2,"RH")</f>
        <v>0</v>
      </c>
      <c r="J2" s="4">
        <f>COUNTIF(K2:VW2,"S")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  <c r="CA2" s="4" t="s">
        <v>7</v>
      </c>
      <c r="CB2" s="4" t="s">
        <v>7</v>
      </c>
      <c r="CC2" s="4" t="s">
        <v>7</v>
      </c>
      <c r="CD2" s="4" t="s">
        <v>7</v>
      </c>
      <c r="CE2" s="4" t="s">
        <v>7</v>
      </c>
      <c r="CF2" s="4" t="s">
        <v>7</v>
      </c>
      <c r="CG2" s="4" t="s">
        <v>7</v>
      </c>
      <c r="CH2" s="4" t="s">
        <v>7</v>
      </c>
      <c r="CI2" s="4" t="s">
        <v>7</v>
      </c>
      <c r="CJ2" s="4" t="s">
        <v>7</v>
      </c>
      <c r="CK2" s="4" t="s">
        <v>7</v>
      </c>
      <c r="CL2" s="4" t="s">
        <v>7</v>
      </c>
      <c r="CM2" s="4" t="s">
        <v>7</v>
      </c>
      <c r="CN2" s="4" t="s">
        <v>7</v>
      </c>
      <c r="CO2" s="4" t="s">
        <v>7</v>
      </c>
      <c r="CP2" s="4" t="s">
        <v>7</v>
      </c>
      <c r="CQ2" s="4" t="s">
        <v>7</v>
      </c>
      <c r="CR2" s="4" t="s">
        <v>7</v>
      </c>
      <c r="CS2" s="4" t="s">
        <v>7</v>
      </c>
      <c r="CT2" s="4" t="s">
        <v>7</v>
      </c>
      <c r="CU2" s="4" t="s">
        <v>7</v>
      </c>
      <c r="CV2" s="4" t="s">
        <v>7</v>
      </c>
      <c r="CW2" s="4" t="s">
        <v>7</v>
      </c>
      <c r="CX2" s="4" t="s">
        <v>7</v>
      </c>
      <c r="CY2" s="4" t="s">
        <v>35</v>
      </c>
      <c r="CZ2" s="4" t="s">
        <v>35</v>
      </c>
      <c r="DA2" s="4" t="s">
        <v>35</v>
      </c>
      <c r="DB2" s="4" t="s">
        <v>35</v>
      </c>
      <c r="DC2" s="4" t="s">
        <v>7</v>
      </c>
      <c r="DD2" s="4" t="s">
        <v>7</v>
      </c>
      <c r="DE2" s="4" t="s">
        <v>7</v>
      </c>
      <c r="DF2" s="4" t="s">
        <v>7</v>
      </c>
      <c r="DG2" s="4" t="s">
        <v>7</v>
      </c>
      <c r="DH2" s="4" t="s">
        <v>7</v>
      </c>
      <c r="DI2" s="4" t="s">
        <v>7</v>
      </c>
      <c r="DJ2" s="4" t="s">
        <v>7</v>
      </c>
      <c r="DK2" s="4" t="s">
        <v>7</v>
      </c>
      <c r="DL2" s="4" t="s">
        <v>7</v>
      </c>
      <c r="DM2" s="4" t="s">
        <v>7</v>
      </c>
      <c r="DN2" s="4" t="s">
        <v>7</v>
      </c>
      <c r="DO2" s="4" t="s">
        <v>7</v>
      </c>
      <c r="DP2" s="4" t="s">
        <v>7</v>
      </c>
      <c r="DQ2" s="4" t="s">
        <v>7</v>
      </c>
      <c r="DR2" s="4" t="s">
        <v>7</v>
      </c>
    </row>
    <row r="3" spans="1:122" x14ac:dyDescent="0.2">
      <c r="A3" s="2" t="s">
        <v>10</v>
      </c>
      <c r="B3" s="4">
        <f t="shared" ref="B3:B21" si="2">COUNTA(K3:VR3)</f>
        <v>112</v>
      </c>
      <c r="C3" s="4">
        <f t="shared" ref="C3:C21" si="3">COUNTIF(K3:VR3,"P")</f>
        <v>92</v>
      </c>
      <c r="D3" s="6">
        <f t="shared" ref="D3:D26" si="4">COUNTIF(K3:VR3,"REP")</f>
        <v>0</v>
      </c>
      <c r="E3" s="4">
        <f t="shared" si="0"/>
        <v>0</v>
      </c>
      <c r="F3" s="4">
        <f t="shared" si="1"/>
        <v>2</v>
      </c>
      <c r="G3" s="4">
        <f t="shared" ref="G3:G26" si="5">COUNTIF(K3:VU3,"M")</f>
        <v>4</v>
      </c>
      <c r="H3" s="4">
        <f t="shared" ref="H3:H26" si="6">COUNTIF(K3:VV3,"R")</f>
        <v>14</v>
      </c>
      <c r="I3" s="4">
        <f t="shared" ref="I3:I26" si="7">COUNTIF(K3:VW3,"RH")</f>
        <v>0</v>
      </c>
      <c r="J3" s="4">
        <f t="shared" ref="J3:J26" si="8">COUNTIF(K3:VW3,"S")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  <c r="CA3" s="4" t="s">
        <v>7</v>
      </c>
      <c r="CB3" s="4" t="s">
        <v>7</v>
      </c>
      <c r="CC3" s="4" t="s">
        <v>7</v>
      </c>
      <c r="CD3" s="4" t="s">
        <v>7</v>
      </c>
      <c r="CE3" s="4" t="s">
        <v>7</v>
      </c>
      <c r="CF3" s="4" t="s">
        <v>7</v>
      </c>
      <c r="CG3" s="4" t="s">
        <v>7</v>
      </c>
      <c r="CH3" s="4" t="s">
        <v>7</v>
      </c>
      <c r="CI3" s="4" t="s">
        <v>7</v>
      </c>
      <c r="CJ3" s="4" t="s">
        <v>7</v>
      </c>
      <c r="CK3" s="4" t="s">
        <v>7</v>
      </c>
      <c r="CL3" s="4" t="s">
        <v>40</v>
      </c>
      <c r="CM3" s="4" t="s">
        <v>7</v>
      </c>
      <c r="CN3" s="4" t="s">
        <v>7</v>
      </c>
      <c r="CO3" s="4" t="s">
        <v>40</v>
      </c>
      <c r="CP3" s="4" t="s">
        <v>7</v>
      </c>
      <c r="CQ3" s="4" t="s">
        <v>7</v>
      </c>
      <c r="CR3" s="4" t="s">
        <v>7</v>
      </c>
      <c r="CS3" s="4" t="s">
        <v>7</v>
      </c>
      <c r="CT3" s="4" t="s">
        <v>7</v>
      </c>
      <c r="CU3" s="4" t="s">
        <v>7</v>
      </c>
      <c r="CV3" s="4" t="s">
        <v>7</v>
      </c>
      <c r="CW3" s="4" t="s">
        <v>7</v>
      </c>
      <c r="CX3" s="4" t="s">
        <v>7</v>
      </c>
      <c r="CY3" s="4" t="s">
        <v>7</v>
      </c>
      <c r="CZ3" s="4" t="s">
        <v>7</v>
      </c>
      <c r="DA3" s="4" t="s">
        <v>7</v>
      </c>
      <c r="DB3" s="4" t="s">
        <v>7</v>
      </c>
      <c r="DC3" s="4" t="s">
        <v>7</v>
      </c>
      <c r="DD3" s="4" t="s">
        <v>7</v>
      </c>
      <c r="DE3" s="4" t="s">
        <v>7</v>
      </c>
      <c r="DF3" s="4" t="s">
        <v>7</v>
      </c>
      <c r="DG3" s="4" t="s">
        <v>7</v>
      </c>
      <c r="DH3" s="4" t="s">
        <v>7</v>
      </c>
      <c r="DI3" s="4" t="s">
        <v>40</v>
      </c>
      <c r="DJ3" s="4" t="s">
        <v>7</v>
      </c>
      <c r="DK3" s="4" t="s">
        <v>7</v>
      </c>
      <c r="DL3" s="4" t="s">
        <v>7</v>
      </c>
      <c r="DM3" s="4" t="s">
        <v>40</v>
      </c>
      <c r="DN3" s="4" t="s">
        <v>7</v>
      </c>
      <c r="DO3" s="4" t="s">
        <v>7</v>
      </c>
      <c r="DP3" s="4" t="s">
        <v>38</v>
      </c>
      <c r="DQ3" s="4" t="s">
        <v>38</v>
      </c>
      <c r="DR3" s="4" t="s">
        <v>7</v>
      </c>
    </row>
    <row r="4" spans="1:122" x14ac:dyDescent="0.2">
      <c r="A4" s="2" t="s">
        <v>11</v>
      </c>
      <c r="B4" s="4">
        <f t="shared" si="2"/>
        <v>112</v>
      </c>
      <c r="C4" s="4">
        <f t="shared" si="3"/>
        <v>110</v>
      </c>
      <c r="D4" s="6">
        <f t="shared" si="4"/>
        <v>1</v>
      </c>
      <c r="E4" s="4">
        <f t="shared" si="0"/>
        <v>0</v>
      </c>
      <c r="F4" s="4">
        <f t="shared" si="1"/>
        <v>0</v>
      </c>
      <c r="G4" s="4">
        <f t="shared" si="5"/>
        <v>0</v>
      </c>
      <c r="H4" s="4">
        <f t="shared" si="6"/>
        <v>1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  <c r="CA4" s="4" t="s">
        <v>7</v>
      </c>
      <c r="CB4" s="4" t="s">
        <v>7</v>
      </c>
      <c r="CC4" s="4" t="s">
        <v>7</v>
      </c>
      <c r="CD4" s="4" t="s">
        <v>7</v>
      </c>
      <c r="CE4" s="4" t="s">
        <v>40</v>
      </c>
      <c r="CF4" s="4" t="s">
        <v>7</v>
      </c>
      <c r="CG4" s="4" t="s">
        <v>7</v>
      </c>
      <c r="CH4" s="4" t="s">
        <v>7</v>
      </c>
      <c r="CI4" s="4" t="s">
        <v>7</v>
      </c>
      <c r="CJ4" s="4" t="s">
        <v>7</v>
      </c>
      <c r="CK4" s="4" t="s">
        <v>7</v>
      </c>
      <c r="CL4" s="4" t="s">
        <v>7</v>
      </c>
      <c r="CM4" s="4" t="s">
        <v>7</v>
      </c>
      <c r="CN4" s="4" t="s">
        <v>7</v>
      </c>
      <c r="CO4" s="4" t="s">
        <v>7</v>
      </c>
      <c r="CP4" s="4" t="s">
        <v>7</v>
      </c>
      <c r="CQ4" s="4" t="s">
        <v>7</v>
      </c>
      <c r="CR4" s="4" t="s">
        <v>7</v>
      </c>
      <c r="CS4" s="4" t="s">
        <v>7</v>
      </c>
      <c r="CT4" s="4" t="s">
        <v>7</v>
      </c>
      <c r="CU4" s="4" t="s">
        <v>7</v>
      </c>
      <c r="CV4" s="4" t="s">
        <v>7</v>
      </c>
      <c r="CW4" s="4" t="s">
        <v>7</v>
      </c>
      <c r="CX4" s="4" t="s">
        <v>7</v>
      </c>
      <c r="CY4" s="4" t="s">
        <v>7</v>
      </c>
      <c r="CZ4" s="4" t="s">
        <v>7</v>
      </c>
      <c r="DA4" s="4" t="s">
        <v>7</v>
      </c>
      <c r="DB4" s="4" t="s">
        <v>7</v>
      </c>
      <c r="DC4" s="4" t="s">
        <v>7</v>
      </c>
      <c r="DD4" s="4" t="s">
        <v>7</v>
      </c>
      <c r="DE4" s="4" t="s">
        <v>7</v>
      </c>
      <c r="DF4" s="4" t="s">
        <v>7</v>
      </c>
      <c r="DG4" s="4" t="s">
        <v>7</v>
      </c>
      <c r="DH4" s="4" t="s">
        <v>7</v>
      </c>
      <c r="DI4" s="4" t="s">
        <v>7</v>
      </c>
      <c r="DJ4" s="4" t="s">
        <v>7</v>
      </c>
      <c r="DK4" s="4" t="s">
        <v>7</v>
      </c>
      <c r="DL4" s="4" t="s">
        <v>7</v>
      </c>
      <c r="DM4" s="4" t="s">
        <v>7</v>
      </c>
      <c r="DN4" s="4" t="s">
        <v>7</v>
      </c>
      <c r="DO4" s="4" t="s">
        <v>7</v>
      </c>
      <c r="DP4" s="4" t="s">
        <v>7</v>
      </c>
      <c r="DQ4" s="4" t="s">
        <v>7</v>
      </c>
      <c r="DR4" s="4" t="s">
        <v>7</v>
      </c>
    </row>
    <row r="5" spans="1:122" x14ac:dyDescent="0.2">
      <c r="A5" s="2" t="s">
        <v>12</v>
      </c>
      <c r="B5" s="4">
        <f t="shared" si="2"/>
        <v>112</v>
      </c>
      <c r="C5" s="4">
        <f t="shared" si="3"/>
        <v>79</v>
      </c>
      <c r="D5" s="6">
        <f t="shared" si="4"/>
        <v>1</v>
      </c>
      <c r="E5" s="4">
        <f t="shared" si="0"/>
        <v>0</v>
      </c>
      <c r="F5" s="4">
        <f t="shared" si="1"/>
        <v>19</v>
      </c>
      <c r="G5" s="4">
        <f t="shared" si="5"/>
        <v>0</v>
      </c>
      <c r="H5" s="4">
        <f t="shared" si="6"/>
        <v>0</v>
      </c>
      <c r="I5" s="4">
        <f t="shared" si="7"/>
        <v>13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  <c r="CA5" s="4" t="s">
        <v>35</v>
      </c>
      <c r="CB5" s="4" t="s">
        <v>35</v>
      </c>
      <c r="CC5" s="4" t="s">
        <v>35</v>
      </c>
      <c r="CD5" s="4" t="s">
        <v>35</v>
      </c>
      <c r="CE5" s="4" t="s">
        <v>35</v>
      </c>
      <c r="CF5" s="4" t="s">
        <v>34</v>
      </c>
      <c r="CG5" s="4" t="s">
        <v>34</v>
      </c>
      <c r="CH5" s="4" t="s">
        <v>34</v>
      </c>
      <c r="CI5" s="4" t="s">
        <v>34</v>
      </c>
      <c r="CJ5" s="4" t="s">
        <v>7</v>
      </c>
      <c r="CK5" s="4" t="s">
        <v>7</v>
      </c>
      <c r="CL5" s="4" t="s">
        <v>7</v>
      </c>
      <c r="CM5" s="4" t="s">
        <v>7</v>
      </c>
      <c r="CN5" s="4" t="s">
        <v>7</v>
      </c>
      <c r="CO5" s="4" t="s">
        <v>7</v>
      </c>
      <c r="CP5" s="4" t="s">
        <v>7</v>
      </c>
      <c r="CQ5" s="4" t="s">
        <v>7</v>
      </c>
      <c r="CR5" s="4" t="s">
        <v>7</v>
      </c>
      <c r="CS5" s="4" t="s">
        <v>7</v>
      </c>
      <c r="CT5" s="4" t="s">
        <v>7</v>
      </c>
      <c r="CU5" s="4" t="s">
        <v>7</v>
      </c>
      <c r="CV5" s="4" t="s">
        <v>7</v>
      </c>
      <c r="CW5" s="4" t="s">
        <v>7</v>
      </c>
      <c r="CX5" s="4" t="s">
        <v>7</v>
      </c>
      <c r="CY5" s="4" t="s">
        <v>7</v>
      </c>
      <c r="CZ5" s="4" t="s">
        <v>7</v>
      </c>
      <c r="DA5" s="4" t="s">
        <v>7</v>
      </c>
      <c r="DB5" s="4" t="s">
        <v>7</v>
      </c>
      <c r="DC5" s="4" t="s">
        <v>7</v>
      </c>
      <c r="DD5" s="4" t="s">
        <v>7</v>
      </c>
      <c r="DE5" s="4" t="s">
        <v>7</v>
      </c>
      <c r="DF5" s="4" t="s">
        <v>7</v>
      </c>
      <c r="DG5" s="4" t="s">
        <v>7</v>
      </c>
      <c r="DH5" s="4" t="s">
        <v>7</v>
      </c>
      <c r="DI5" s="4" t="s">
        <v>7</v>
      </c>
      <c r="DJ5" s="4" t="s">
        <v>7</v>
      </c>
      <c r="DK5" s="4" t="s">
        <v>7</v>
      </c>
      <c r="DL5" s="4" t="s">
        <v>7</v>
      </c>
      <c r="DM5" s="4" t="s">
        <v>7</v>
      </c>
      <c r="DN5" s="4" t="s">
        <v>7</v>
      </c>
      <c r="DO5" s="4" t="s">
        <v>7</v>
      </c>
      <c r="DP5" s="4" t="s">
        <v>7</v>
      </c>
      <c r="DQ5" s="4" t="s">
        <v>7</v>
      </c>
      <c r="DR5" s="4" t="s">
        <v>7</v>
      </c>
    </row>
    <row r="6" spans="1:122" x14ac:dyDescent="0.2">
      <c r="A6" s="2" t="s">
        <v>13</v>
      </c>
      <c r="B6" s="4">
        <f t="shared" si="2"/>
        <v>112</v>
      </c>
      <c r="C6" s="4">
        <f t="shared" si="3"/>
        <v>54</v>
      </c>
      <c r="D6" s="6">
        <f t="shared" si="4"/>
        <v>1</v>
      </c>
      <c r="E6" s="4">
        <f t="shared" si="0"/>
        <v>7</v>
      </c>
      <c r="F6" s="4">
        <f>COUNTIF(K6:VT6,"B")</f>
        <v>36</v>
      </c>
      <c r="G6" s="4">
        <f t="shared" si="5"/>
        <v>4</v>
      </c>
      <c r="H6" s="4">
        <f t="shared" si="6"/>
        <v>4</v>
      </c>
      <c r="I6" s="4">
        <f t="shared" si="7"/>
        <v>6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  <c r="CA6" s="4" t="s">
        <v>35</v>
      </c>
      <c r="CB6" s="4" t="s">
        <v>35</v>
      </c>
      <c r="CC6" s="4" t="s">
        <v>35</v>
      </c>
      <c r="CD6" s="4" t="s">
        <v>35</v>
      </c>
      <c r="CE6" s="4" t="s">
        <v>35</v>
      </c>
      <c r="CF6" s="4" t="s">
        <v>35</v>
      </c>
      <c r="CG6" s="4" t="s">
        <v>34</v>
      </c>
      <c r="CH6" s="4" t="s">
        <v>34</v>
      </c>
      <c r="CI6" s="4" t="s">
        <v>34</v>
      </c>
      <c r="CJ6" s="4" t="s">
        <v>34</v>
      </c>
      <c r="CK6" s="4" t="s">
        <v>34</v>
      </c>
      <c r="CL6" s="4" t="s">
        <v>34</v>
      </c>
      <c r="CM6" s="4" t="s">
        <v>7</v>
      </c>
      <c r="CN6" s="4" t="s">
        <v>7</v>
      </c>
      <c r="CO6" s="4" t="s">
        <v>40</v>
      </c>
      <c r="CP6" s="4" t="s">
        <v>7</v>
      </c>
      <c r="CQ6" s="4" t="s">
        <v>7</v>
      </c>
      <c r="CR6" s="4" t="s">
        <v>7</v>
      </c>
      <c r="CS6" s="4" t="s">
        <v>40</v>
      </c>
      <c r="CT6" s="4" t="s">
        <v>7</v>
      </c>
      <c r="CU6" s="4" t="s">
        <v>32</v>
      </c>
      <c r="CV6" s="4" t="s">
        <v>7</v>
      </c>
      <c r="CW6" s="4" t="s">
        <v>7</v>
      </c>
      <c r="CX6" s="4" t="s">
        <v>40</v>
      </c>
      <c r="CY6" s="4" t="s">
        <v>32</v>
      </c>
      <c r="CZ6" s="4" t="s">
        <v>7</v>
      </c>
      <c r="DA6" s="4" t="s">
        <v>7</v>
      </c>
      <c r="DB6" s="4" t="s">
        <v>40</v>
      </c>
      <c r="DC6" s="4" t="s">
        <v>32</v>
      </c>
      <c r="DD6" s="4" t="s">
        <v>7</v>
      </c>
      <c r="DE6" s="4" t="s">
        <v>38</v>
      </c>
      <c r="DF6" s="4" t="s">
        <v>32</v>
      </c>
      <c r="DG6" s="4" t="s">
        <v>7</v>
      </c>
      <c r="DH6" s="4" t="s">
        <v>7</v>
      </c>
      <c r="DI6" s="4" t="s">
        <v>35</v>
      </c>
      <c r="DJ6" s="4" t="s">
        <v>35</v>
      </c>
      <c r="DK6" s="4" t="s">
        <v>35</v>
      </c>
      <c r="DL6" s="4" t="s">
        <v>35</v>
      </c>
      <c r="DM6" s="4" t="s">
        <v>35</v>
      </c>
      <c r="DN6" s="4" t="s">
        <v>35</v>
      </c>
      <c r="DO6" s="4" t="s">
        <v>35</v>
      </c>
      <c r="DP6" s="4" t="s">
        <v>35</v>
      </c>
      <c r="DQ6" s="4" t="s">
        <v>35</v>
      </c>
      <c r="DR6" s="4" t="s">
        <v>35</v>
      </c>
    </row>
    <row r="7" spans="1:122" x14ac:dyDescent="0.2">
      <c r="A7" s="2" t="s">
        <v>14</v>
      </c>
      <c r="B7" s="4">
        <f t="shared" si="2"/>
        <v>112</v>
      </c>
      <c r="C7" s="4">
        <f t="shared" si="3"/>
        <v>99</v>
      </c>
      <c r="D7" s="6">
        <f t="shared" si="4"/>
        <v>1</v>
      </c>
      <c r="E7" s="4">
        <f>COUNTIF(K7:VS7,"A")</f>
        <v>2</v>
      </c>
      <c r="F7" s="4">
        <f t="shared" si="1"/>
        <v>8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  <c r="CA7" s="4" t="s">
        <v>7</v>
      </c>
      <c r="CB7" s="4" t="s">
        <v>7</v>
      </c>
      <c r="CC7" s="4" t="s">
        <v>7</v>
      </c>
      <c r="CD7" s="4" t="s">
        <v>7</v>
      </c>
      <c r="CE7" s="4" t="s">
        <v>7</v>
      </c>
      <c r="CF7" s="4" t="s">
        <v>7</v>
      </c>
      <c r="CG7" s="4" t="s">
        <v>7</v>
      </c>
      <c r="CH7" s="4" t="s">
        <v>7</v>
      </c>
      <c r="CI7" s="4" t="s">
        <v>7</v>
      </c>
      <c r="CJ7" s="4" t="s">
        <v>7</v>
      </c>
      <c r="CK7" s="4" t="s">
        <v>7</v>
      </c>
      <c r="CL7" s="4" t="s">
        <v>7</v>
      </c>
      <c r="CM7" s="4" t="s">
        <v>7</v>
      </c>
      <c r="CN7" s="4" t="s">
        <v>7</v>
      </c>
      <c r="CO7" s="4" t="s">
        <v>7</v>
      </c>
      <c r="CP7" s="4" t="s">
        <v>7</v>
      </c>
      <c r="CQ7" s="4" t="s">
        <v>7</v>
      </c>
      <c r="CR7" s="4" t="s">
        <v>7</v>
      </c>
      <c r="CS7" s="4" t="s">
        <v>7</v>
      </c>
      <c r="CT7" s="4" t="s">
        <v>7</v>
      </c>
      <c r="CU7" s="4" t="s">
        <v>7</v>
      </c>
      <c r="CV7" s="4" t="s">
        <v>7</v>
      </c>
      <c r="CW7" s="4" t="s">
        <v>7</v>
      </c>
      <c r="CX7" s="4" t="s">
        <v>7</v>
      </c>
      <c r="CY7" s="4" t="s">
        <v>32</v>
      </c>
      <c r="CZ7" s="4" t="s">
        <v>7</v>
      </c>
      <c r="DA7" s="4" t="s">
        <v>7</v>
      </c>
      <c r="DB7" s="4" t="s">
        <v>7</v>
      </c>
      <c r="DC7" s="4" t="s">
        <v>7</v>
      </c>
      <c r="DD7" s="4" t="s">
        <v>7</v>
      </c>
      <c r="DE7" s="4" t="s">
        <v>7</v>
      </c>
      <c r="DF7" s="4" t="s">
        <v>7</v>
      </c>
      <c r="DG7" s="4" t="s">
        <v>7</v>
      </c>
      <c r="DH7" s="4" t="s">
        <v>7</v>
      </c>
      <c r="DI7" s="4" t="s">
        <v>7</v>
      </c>
      <c r="DJ7" s="4" t="s">
        <v>7</v>
      </c>
      <c r="DK7" s="4" t="s">
        <v>7</v>
      </c>
      <c r="DL7" s="4" t="s">
        <v>7</v>
      </c>
      <c r="DM7" s="4" t="s">
        <v>7</v>
      </c>
      <c r="DN7" s="4" t="s">
        <v>7</v>
      </c>
      <c r="DO7" s="4" t="s">
        <v>7</v>
      </c>
      <c r="DP7" s="4" t="s">
        <v>7</v>
      </c>
      <c r="DQ7" s="4" t="s">
        <v>7</v>
      </c>
      <c r="DR7" s="4" t="s">
        <v>7</v>
      </c>
    </row>
    <row r="8" spans="1:122" x14ac:dyDescent="0.2">
      <c r="A8" s="2" t="s">
        <v>15</v>
      </c>
      <c r="B8" s="4">
        <f t="shared" si="2"/>
        <v>112</v>
      </c>
      <c r="C8" s="4">
        <f t="shared" si="3"/>
        <v>82</v>
      </c>
      <c r="D8" s="6">
        <f t="shared" si="4"/>
        <v>1</v>
      </c>
      <c r="E8" s="4">
        <f t="shared" si="0"/>
        <v>0</v>
      </c>
      <c r="F8" s="4">
        <f t="shared" si="1"/>
        <v>16</v>
      </c>
      <c r="G8" s="4">
        <f t="shared" si="5"/>
        <v>1</v>
      </c>
      <c r="H8" s="4">
        <f t="shared" si="6"/>
        <v>9</v>
      </c>
      <c r="I8" s="4">
        <f t="shared" si="7"/>
        <v>3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  <c r="CA8" s="4" t="s">
        <v>7</v>
      </c>
      <c r="CB8" s="4" t="s">
        <v>7</v>
      </c>
      <c r="CC8" s="4" t="s">
        <v>7</v>
      </c>
      <c r="CD8" s="4" t="s">
        <v>7</v>
      </c>
      <c r="CE8" s="4" t="s">
        <v>40</v>
      </c>
      <c r="CF8" s="4" t="s">
        <v>7</v>
      </c>
      <c r="CG8" s="4" t="s">
        <v>7</v>
      </c>
      <c r="CH8" s="4" t="s">
        <v>7</v>
      </c>
      <c r="CI8" s="4" t="s">
        <v>7</v>
      </c>
      <c r="CJ8" s="4" t="s">
        <v>7</v>
      </c>
      <c r="CK8" s="4" t="s">
        <v>7</v>
      </c>
      <c r="CL8" s="4" t="s">
        <v>7</v>
      </c>
      <c r="CM8" s="4" t="s">
        <v>7</v>
      </c>
      <c r="CN8" s="4" t="s">
        <v>7</v>
      </c>
      <c r="CO8" s="4" t="s">
        <v>40</v>
      </c>
      <c r="CP8" s="4" t="s">
        <v>7</v>
      </c>
      <c r="CQ8" s="4" t="s">
        <v>7</v>
      </c>
      <c r="CR8" s="4" t="s">
        <v>7</v>
      </c>
      <c r="CS8" s="4" t="s">
        <v>40</v>
      </c>
      <c r="CT8" s="4" t="s">
        <v>7</v>
      </c>
      <c r="CU8" s="4" t="s">
        <v>7</v>
      </c>
      <c r="CV8" s="4" t="s">
        <v>7</v>
      </c>
      <c r="CW8" s="4" t="s">
        <v>7</v>
      </c>
      <c r="CX8" s="4" t="s">
        <v>40</v>
      </c>
      <c r="CY8" s="4" t="s">
        <v>7</v>
      </c>
      <c r="CZ8" s="4" t="s">
        <v>7</v>
      </c>
      <c r="DA8" s="4" t="s">
        <v>7</v>
      </c>
      <c r="DB8" s="4" t="s">
        <v>40</v>
      </c>
      <c r="DC8" s="4" t="s">
        <v>7</v>
      </c>
      <c r="DD8" s="4" t="s">
        <v>7</v>
      </c>
      <c r="DE8" s="4" t="s">
        <v>7</v>
      </c>
      <c r="DF8" s="4" t="s">
        <v>7</v>
      </c>
      <c r="DG8" s="4" t="s">
        <v>7</v>
      </c>
      <c r="DH8" s="4" t="s">
        <v>7</v>
      </c>
      <c r="DI8" s="4" t="s">
        <v>7</v>
      </c>
      <c r="DJ8" s="4" t="s">
        <v>7</v>
      </c>
      <c r="DK8" s="4" t="s">
        <v>7</v>
      </c>
      <c r="DL8" s="4" t="s">
        <v>7</v>
      </c>
      <c r="DM8" s="4" t="s">
        <v>7</v>
      </c>
      <c r="DN8" s="4" t="s">
        <v>7</v>
      </c>
      <c r="DO8" s="4" t="s">
        <v>38</v>
      </c>
      <c r="DP8" s="4" t="s">
        <v>7</v>
      </c>
      <c r="DQ8" s="4" t="s">
        <v>40</v>
      </c>
      <c r="DR8" s="4" t="s">
        <v>35</v>
      </c>
    </row>
    <row r="9" spans="1:122" x14ac:dyDescent="0.2">
      <c r="A9" s="2" t="s">
        <v>16</v>
      </c>
      <c r="B9" s="4">
        <f t="shared" si="2"/>
        <v>112</v>
      </c>
      <c r="C9" s="4">
        <f t="shared" si="3"/>
        <v>106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4</v>
      </c>
      <c r="H9" s="4">
        <f t="shared" si="6"/>
        <v>0</v>
      </c>
      <c r="I9" s="4">
        <f t="shared" si="7"/>
        <v>2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  <c r="CA9" s="4" t="s">
        <v>7</v>
      </c>
      <c r="CB9" s="4" t="s">
        <v>7</v>
      </c>
      <c r="CC9" s="4" t="s">
        <v>7</v>
      </c>
      <c r="CD9" s="4" t="s">
        <v>7</v>
      </c>
      <c r="CE9" s="4" t="s">
        <v>7</v>
      </c>
      <c r="CF9" s="4" t="s">
        <v>7</v>
      </c>
      <c r="CG9" s="4" t="s">
        <v>7</v>
      </c>
      <c r="CH9" s="4" t="s">
        <v>7</v>
      </c>
      <c r="CI9" s="4" t="s">
        <v>7</v>
      </c>
      <c r="CJ9" s="4" t="s">
        <v>7</v>
      </c>
      <c r="CK9" s="4" t="s">
        <v>7</v>
      </c>
      <c r="CL9" s="4" t="s">
        <v>7</v>
      </c>
      <c r="CM9" s="4" t="s">
        <v>7</v>
      </c>
      <c r="CN9" s="4" t="s">
        <v>7</v>
      </c>
      <c r="CO9" s="4" t="s">
        <v>7</v>
      </c>
      <c r="CP9" s="4" t="s">
        <v>7</v>
      </c>
      <c r="CQ9" s="4" t="s">
        <v>7</v>
      </c>
      <c r="CR9" s="4" t="s">
        <v>7</v>
      </c>
      <c r="CS9" s="4" t="s">
        <v>7</v>
      </c>
      <c r="CT9" s="4" t="s">
        <v>7</v>
      </c>
      <c r="CU9" s="4" t="s">
        <v>38</v>
      </c>
      <c r="CV9" s="4" t="s">
        <v>38</v>
      </c>
      <c r="CW9" s="4" t="s">
        <v>34</v>
      </c>
      <c r="CX9" s="4" t="s">
        <v>34</v>
      </c>
      <c r="CY9" s="4" t="s">
        <v>7</v>
      </c>
      <c r="CZ9" s="4" t="s">
        <v>7</v>
      </c>
      <c r="DA9" s="4" t="s">
        <v>7</v>
      </c>
      <c r="DB9" s="4" t="s">
        <v>7</v>
      </c>
      <c r="DC9" s="4" t="s">
        <v>7</v>
      </c>
      <c r="DD9" s="4" t="s">
        <v>7</v>
      </c>
      <c r="DE9" s="4" t="s">
        <v>7</v>
      </c>
      <c r="DF9" s="4" t="s">
        <v>7</v>
      </c>
      <c r="DG9" s="4" t="s">
        <v>7</v>
      </c>
      <c r="DH9" s="4" t="s">
        <v>7</v>
      </c>
      <c r="DI9" s="4" t="s">
        <v>7</v>
      </c>
      <c r="DJ9" s="4" t="s">
        <v>7</v>
      </c>
      <c r="DK9" s="4" t="s">
        <v>7</v>
      </c>
      <c r="DL9" s="4" t="s">
        <v>7</v>
      </c>
      <c r="DM9" s="4" t="s">
        <v>7</v>
      </c>
      <c r="DN9" s="4" t="s">
        <v>7</v>
      </c>
      <c r="DO9" s="4" t="s">
        <v>7</v>
      </c>
      <c r="DP9" s="4" t="s">
        <v>7</v>
      </c>
      <c r="DQ9" s="4" t="s">
        <v>7</v>
      </c>
      <c r="DR9" s="4" t="s">
        <v>7</v>
      </c>
    </row>
    <row r="10" spans="1:122" x14ac:dyDescent="0.2">
      <c r="A10" s="2" t="s">
        <v>17</v>
      </c>
      <c r="B10" s="4">
        <f t="shared" si="2"/>
        <v>112</v>
      </c>
      <c r="C10" s="4">
        <f t="shared" si="3"/>
        <v>93</v>
      </c>
      <c r="D10" s="6">
        <f t="shared" si="4"/>
        <v>0</v>
      </c>
      <c r="E10" s="4">
        <f t="shared" si="0"/>
        <v>0</v>
      </c>
      <c r="F10" s="4">
        <f t="shared" si="1"/>
        <v>14</v>
      </c>
      <c r="G10" s="4">
        <f t="shared" si="5"/>
        <v>0</v>
      </c>
      <c r="H10" s="4">
        <f t="shared" si="6"/>
        <v>0</v>
      </c>
      <c r="I10" s="4">
        <f t="shared" si="7"/>
        <v>5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  <c r="CA10" s="4" t="s">
        <v>7</v>
      </c>
      <c r="CB10" s="4" t="s">
        <v>7</v>
      </c>
      <c r="CC10" s="4" t="s">
        <v>7</v>
      </c>
      <c r="CD10" s="4" t="s">
        <v>7</v>
      </c>
      <c r="CE10" s="4" t="s">
        <v>7</v>
      </c>
      <c r="CF10" s="4" t="s">
        <v>7</v>
      </c>
      <c r="CG10" s="4" t="s">
        <v>7</v>
      </c>
      <c r="CH10" s="4" t="s">
        <v>7</v>
      </c>
      <c r="CI10" s="4" t="s">
        <v>7</v>
      </c>
      <c r="CJ10" s="4" t="s">
        <v>7</v>
      </c>
      <c r="CK10" s="4" t="s">
        <v>7</v>
      </c>
      <c r="CL10" s="4" t="s">
        <v>7</v>
      </c>
      <c r="CM10" s="4" t="s">
        <v>7</v>
      </c>
      <c r="CN10" s="4" t="s">
        <v>7</v>
      </c>
      <c r="CO10" s="4" t="s">
        <v>7</v>
      </c>
      <c r="CP10" s="4" t="s">
        <v>7</v>
      </c>
      <c r="CQ10" s="4" t="s">
        <v>7</v>
      </c>
      <c r="CR10" s="4" t="s">
        <v>7</v>
      </c>
      <c r="CS10" s="4" t="s">
        <v>7</v>
      </c>
      <c r="CT10" s="4" t="s">
        <v>34</v>
      </c>
      <c r="CU10" s="4" t="s">
        <v>7</v>
      </c>
      <c r="CV10" s="4" t="s">
        <v>7</v>
      </c>
      <c r="CW10" s="4" t="s">
        <v>7</v>
      </c>
      <c r="CX10" s="4" t="s">
        <v>7</v>
      </c>
      <c r="CY10" s="4" t="s">
        <v>7</v>
      </c>
      <c r="CZ10" s="4" t="s">
        <v>7</v>
      </c>
      <c r="DA10" s="4" t="s">
        <v>7</v>
      </c>
      <c r="DB10" s="4" t="s">
        <v>7</v>
      </c>
      <c r="DC10" s="4" t="s">
        <v>7</v>
      </c>
      <c r="DD10" s="4" t="s">
        <v>7</v>
      </c>
      <c r="DE10" s="4" t="s">
        <v>7</v>
      </c>
      <c r="DF10" s="4" t="s">
        <v>7</v>
      </c>
      <c r="DG10" s="4" t="s">
        <v>7</v>
      </c>
      <c r="DH10" s="4" t="s">
        <v>7</v>
      </c>
      <c r="DI10" s="4" t="s">
        <v>7</v>
      </c>
      <c r="DJ10" s="4" t="s">
        <v>7</v>
      </c>
      <c r="DK10" s="4" t="s">
        <v>7</v>
      </c>
      <c r="DL10" s="4" t="s">
        <v>7</v>
      </c>
      <c r="DM10" s="4" t="s">
        <v>7</v>
      </c>
      <c r="DN10" s="4" t="s">
        <v>7</v>
      </c>
      <c r="DO10" s="4" t="s">
        <v>7</v>
      </c>
      <c r="DP10" s="4" t="s">
        <v>7</v>
      </c>
      <c r="DQ10" s="4" t="s">
        <v>7</v>
      </c>
      <c r="DR10" s="4" t="s">
        <v>35</v>
      </c>
    </row>
    <row r="11" spans="1:122" x14ac:dyDescent="0.2">
      <c r="A11" s="2" t="s">
        <v>18</v>
      </c>
      <c r="B11" s="4">
        <f t="shared" si="2"/>
        <v>112</v>
      </c>
      <c r="C11" s="4">
        <f t="shared" si="3"/>
        <v>105</v>
      </c>
      <c r="D11" s="6">
        <f t="shared" si="4"/>
        <v>1</v>
      </c>
      <c r="E11" s="4">
        <f t="shared" si="0"/>
        <v>0</v>
      </c>
      <c r="F11" s="4">
        <f t="shared" si="1"/>
        <v>5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  <c r="CA11" s="4" t="s">
        <v>7</v>
      </c>
      <c r="CB11" s="4" t="s">
        <v>7</v>
      </c>
      <c r="CC11" s="4" t="s">
        <v>7</v>
      </c>
      <c r="CD11" s="4" t="s">
        <v>7</v>
      </c>
      <c r="CE11" s="4" t="s">
        <v>7</v>
      </c>
      <c r="CF11" s="4" t="s">
        <v>7</v>
      </c>
      <c r="CG11" s="4" t="s">
        <v>7</v>
      </c>
      <c r="CH11" s="4" t="s">
        <v>7</v>
      </c>
      <c r="CI11" s="4" t="s">
        <v>7</v>
      </c>
      <c r="CJ11" s="4" t="s">
        <v>7</v>
      </c>
      <c r="CK11" s="4" t="s">
        <v>7</v>
      </c>
      <c r="CL11" s="4" t="s">
        <v>7</v>
      </c>
      <c r="CM11" s="4" t="s">
        <v>7</v>
      </c>
      <c r="CN11" s="4" t="s">
        <v>7</v>
      </c>
      <c r="CO11" s="4" t="s">
        <v>7</v>
      </c>
      <c r="CP11" s="4" t="s">
        <v>7</v>
      </c>
      <c r="CQ11" s="4" t="s">
        <v>7</v>
      </c>
      <c r="CR11" s="4" t="s">
        <v>7</v>
      </c>
      <c r="CS11" s="4" t="s">
        <v>7</v>
      </c>
      <c r="CT11" s="4" t="s">
        <v>7</v>
      </c>
      <c r="CU11" s="4" t="s">
        <v>7</v>
      </c>
      <c r="CV11" s="4" t="s">
        <v>7</v>
      </c>
      <c r="CW11" s="4" t="s">
        <v>7</v>
      </c>
      <c r="CX11" s="4" t="s">
        <v>7</v>
      </c>
      <c r="CY11" s="4" t="s">
        <v>7</v>
      </c>
      <c r="CZ11" s="4" t="s">
        <v>7</v>
      </c>
      <c r="DA11" s="4" t="s">
        <v>7</v>
      </c>
      <c r="DB11" s="4" t="s">
        <v>7</v>
      </c>
      <c r="DC11" s="4" t="s">
        <v>7</v>
      </c>
      <c r="DD11" s="4" t="s">
        <v>7</v>
      </c>
      <c r="DE11" s="4" t="s">
        <v>7</v>
      </c>
      <c r="DF11" s="4" t="s">
        <v>7</v>
      </c>
      <c r="DG11" s="4" t="s">
        <v>7</v>
      </c>
      <c r="DH11" s="4" t="s">
        <v>7</v>
      </c>
      <c r="DI11" s="4" t="s">
        <v>35</v>
      </c>
      <c r="DJ11" s="4" t="s">
        <v>7</v>
      </c>
      <c r="DK11" s="4" t="s">
        <v>7</v>
      </c>
      <c r="DL11" s="4" t="s">
        <v>7</v>
      </c>
      <c r="DM11" s="4" t="s">
        <v>7</v>
      </c>
      <c r="DN11" s="4" t="s">
        <v>7</v>
      </c>
      <c r="DO11" s="4" t="s">
        <v>7</v>
      </c>
      <c r="DP11" s="4" t="s">
        <v>7</v>
      </c>
      <c r="DQ11" s="4" t="s">
        <v>7</v>
      </c>
      <c r="DR11" s="4" t="s">
        <v>7</v>
      </c>
    </row>
    <row r="12" spans="1:122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122" x14ac:dyDescent="0.2">
      <c r="A13" s="2" t="s">
        <v>20</v>
      </c>
      <c r="B13" s="4">
        <f t="shared" si="2"/>
        <v>112</v>
      </c>
      <c r="C13" s="4">
        <f t="shared" si="3"/>
        <v>20</v>
      </c>
      <c r="D13" s="6">
        <f t="shared" si="4"/>
        <v>2</v>
      </c>
      <c r="E13" s="4">
        <f t="shared" si="0"/>
        <v>1</v>
      </c>
      <c r="F13" s="4">
        <f t="shared" si="1"/>
        <v>68</v>
      </c>
      <c r="G13" s="4">
        <f t="shared" si="5"/>
        <v>0</v>
      </c>
      <c r="H13" s="4">
        <f t="shared" si="6"/>
        <v>0</v>
      </c>
      <c r="I13" s="4">
        <f t="shared" si="7"/>
        <v>21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  <c r="CA13" s="4" t="s">
        <v>35</v>
      </c>
      <c r="CB13" s="4" t="s">
        <v>35</v>
      </c>
      <c r="CC13" s="4" t="s">
        <v>35</v>
      </c>
      <c r="CD13" s="4" t="s">
        <v>35</v>
      </c>
      <c r="CE13" s="4" t="s">
        <v>35</v>
      </c>
      <c r="CF13" s="4" t="s">
        <v>35</v>
      </c>
      <c r="CG13" s="4" t="s">
        <v>35</v>
      </c>
      <c r="CH13" s="4" t="s">
        <v>35</v>
      </c>
      <c r="CI13" s="4" t="s">
        <v>35</v>
      </c>
      <c r="CJ13" s="4" t="s">
        <v>35</v>
      </c>
      <c r="CK13" s="4" t="s">
        <v>35</v>
      </c>
      <c r="CL13" s="4" t="s">
        <v>35</v>
      </c>
      <c r="CM13" s="4" t="s">
        <v>35</v>
      </c>
      <c r="CN13" s="4" t="s">
        <v>35</v>
      </c>
      <c r="CO13" s="4" t="s">
        <v>35</v>
      </c>
      <c r="CP13" s="4" t="s">
        <v>35</v>
      </c>
      <c r="CQ13" s="4" t="s">
        <v>35</v>
      </c>
      <c r="CR13" s="4" t="s">
        <v>35</v>
      </c>
      <c r="CS13" s="4" t="s">
        <v>35</v>
      </c>
      <c r="CT13" s="4" t="s">
        <v>35</v>
      </c>
      <c r="CU13" s="4" t="s">
        <v>35</v>
      </c>
      <c r="CV13" s="4" t="s">
        <v>35</v>
      </c>
      <c r="CW13" s="4" t="s">
        <v>35</v>
      </c>
      <c r="CX13" s="4" t="s">
        <v>35</v>
      </c>
      <c r="CY13" s="4" t="s">
        <v>35</v>
      </c>
      <c r="CZ13" s="4" t="s">
        <v>35</v>
      </c>
      <c r="DA13" s="4" t="s">
        <v>35</v>
      </c>
      <c r="DB13" s="4" t="s">
        <v>35</v>
      </c>
      <c r="DC13" s="4" t="s">
        <v>35</v>
      </c>
      <c r="DD13" s="4" t="s">
        <v>34</v>
      </c>
      <c r="DE13" s="4" t="s">
        <v>34</v>
      </c>
      <c r="DF13" s="4" t="s">
        <v>34</v>
      </c>
      <c r="DG13" s="4" t="s">
        <v>34</v>
      </c>
      <c r="DH13" s="4" t="s">
        <v>34</v>
      </c>
      <c r="DI13" s="4" t="s">
        <v>34</v>
      </c>
      <c r="DJ13" s="4" t="s">
        <v>34</v>
      </c>
      <c r="DK13" s="4" t="s">
        <v>7</v>
      </c>
      <c r="DL13" s="4" t="s">
        <v>7</v>
      </c>
      <c r="DM13" s="4" t="s">
        <v>42</v>
      </c>
      <c r="DN13" s="4" t="s">
        <v>7</v>
      </c>
      <c r="DO13" s="4" t="s">
        <v>42</v>
      </c>
      <c r="DP13" s="4" t="s">
        <v>34</v>
      </c>
      <c r="DQ13" s="4" t="s">
        <v>34</v>
      </c>
      <c r="DR13" s="4" t="s">
        <v>35</v>
      </c>
    </row>
    <row r="14" spans="1:122" x14ac:dyDescent="0.2">
      <c r="A14" s="2" t="s">
        <v>21</v>
      </c>
      <c r="B14" s="4">
        <f t="shared" si="2"/>
        <v>112</v>
      </c>
      <c r="C14" s="4">
        <f t="shared" si="3"/>
        <v>111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  <c r="CA14" s="4" t="s">
        <v>7</v>
      </c>
      <c r="CB14" s="4" t="s">
        <v>7</v>
      </c>
      <c r="CC14" s="4" t="s">
        <v>7</v>
      </c>
      <c r="CD14" s="4" t="s">
        <v>7</v>
      </c>
      <c r="CE14" s="4" t="s">
        <v>7</v>
      </c>
      <c r="CF14" s="4" t="s">
        <v>7</v>
      </c>
      <c r="CG14" s="4" t="s">
        <v>7</v>
      </c>
      <c r="CH14" s="4" t="s">
        <v>7</v>
      </c>
      <c r="CI14" s="4" t="s">
        <v>7</v>
      </c>
      <c r="CJ14" s="4" t="s">
        <v>7</v>
      </c>
      <c r="CK14" s="4" t="s">
        <v>7</v>
      </c>
      <c r="CL14" s="4" t="s">
        <v>7</v>
      </c>
      <c r="CM14" s="4" t="s">
        <v>7</v>
      </c>
      <c r="CN14" s="4" t="s">
        <v>7</v>
      </c>
      <c r="CO14" s="4" t="s">
        <v>7</v>
      </c>
      <c r="CP14" s="4" t="s">
        <v>7</v>
      </c>
      <c r="CQ14" s="4" t="s">
        <v>7</v>
      </c>
      <c r="CR14" s="4" t="s">
        <v>7</v>
      </c>
      <c r="CS14" s="4" t="s">
        <v>7</v>
      </c>
      <c r="CT14" s="4" t="s">
        <v>7</v>
      </c>
      <c r="CU14" s="4" t="s">
        <v>7</v>
      </c>
      <c r="CV14" s="4" t="s">
        <v>7</v>
      </c>
      <c r="CW14" s="4" t="s">
        <v>7</v>
      </c>
      <c r="CX14" s="4" t="s">
        <v>7</v>
      </c>
      <c r="CY14" s="4" t="s">
        <v>7</v>
      </c>
      <c r="CZ14" s="4" t="s">
        <v>7</v>
      </c>
      <c r="DA14" s="4" t="s">
        <v>7</v>
      </c>
      <c r="DB14" s="4" t="s">
        <v>7</v>
      </c>
      <c r="DC14" s="4" t="s">
        <v>7</v>
      </c>
      <c r="DD14" s="4" t="s">
        <v>7</v>
      </c>
      <c r="DE14" s="4" t="s">
        <v>7</v>
      </c>
      <c r="DF14" s="4" t="s">
        <v>7</v>
      </c>
      <c r="DG14" s="4" t="s">
        <v>7</v>
      </c>
      <c r="DH14" s="4" t="s">
        <v>7</v>
      </c>
      <c r="DI14" s="4" t="s">
        <v>7</v>
      </c>
      <c r="DJ14" s="4" t="s">
        <v>7</v>
      </c>
      <c r="DK14" s="4" t="s">
        <v>7</v>
      </c>
      <c r="DL14" s="4" t="s">
        <v>7</v>
      </c>
      <c r="DM14" s="4" t="s">
        <v>7</v>
      </c>
      <c r="DN14" s="4" t="s">
        <v>7</v>
      </c>
      <c r="DO14" s="4" t="s">
        <v>7</v>
      </c>
      <c r="DP14" s="4" t="s">
        <v>7</v>
      </c>
      <c r="DQ14" s="4" t="s">
        <v>7</v>
      </c>
      <c r="DR14" s="4" t="s">
        <v>7</v>
      </c>
    </row>
    <row r="15" spans="1:122" x14ac:dyDescent="0.2">
      <c r="A15" s="2" t="s">
        <v>22</v>
      </c>
      <c r="B15" s="4">
        <f t="shared" si="2"/>
        <v>112</v>
      </c>
      <c r="C15" s="4">
        <f t="shared" si="3"/>
        <v>107</v>
      </c>
      <c r="D15" s="6">
        <f t="shared" si="4"/>
        <v>0</v>
      </c>
      <c r="E15" s="4">
        <f t="shared" si="0"/>
        <v>0</v>
      </c>
      <c r="F15" s="4">
        <f t="shared" si="1"/>
        <v>3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  <c r="CA15" s="4" t="s">
        <v>35</v>
      </c>
      <c r="CB15" s="4" t="s">
        <v>7</v>
      </c>
      <c r="CC15" s="4" t="s">
        <v>7</v>
      </c>
      <c r="CD15" s="4" t="s">
        <v>7</v>
      </c>
      <c r="CE15" s="4" t="s">
        <v>7</v>
      </c>
      <c r="CF15" s="4" t="s">
        <v>7</v>
      </c>
      <c r="CG15" s="4" t="s">
        <v>7</v>
      </c>
      <c r="CH15" s="4" t="s">
        <v>7</v>
      </c>
      <c r="CI15" s="4" t="s">
        <v>7</v>
      </c>
      <c r="CJ15" s="4" t="s">
        <v>7</v>
      </c>
      <c r="CK15" s="4" t="s">
        <v>7</v>
      </c>
      <c r="CL15" s="4" t="s">
        <v>7</v>
      </c>
      <c r="CM15" s="4" t="s">
        <v>7</v>
      </c>
      <c r="CN15" s="4" t="s">
        <v>7</v>
      </c>
      <c r="CO15" s="4" t="s">
        <v>7</v>
      </c>
      <c r="CP15" s="4" t="s">
        <v>7</v>
      </c>
      <c r="CQ15" s="4" t="s">
        <v>7</v>
      </c>
      <c r="CR15" s="4" t="s">
        <v>7</v>
      </c>
      <c r="CS15" s="4" t="s">
        <v>7</v>
      </c>
      <c r="CT15" s="4" t="s">
        <v>7</v>
      </c>
      <c r="CU15" s="4" t="s">
        <v>7</v>
      </c>
      <c r="CV15" s="4" t="s">
        <v>7</v>
      </c>
      <c r="CW15" s="4" t="s">
        <v>7</v>
      </c>
      <c r="CX15" s="4" t="s">
        <v>7</v>
      </c>
      <c r="CY15" s="4" t="s">
        <v>7</v>
      </c>
      <c r="CZ15" s="4" t="s">
        <v>7</v>
      </c>
      <c r="DA15" s="4" t="s">
        <v>7</v>
      </c>
      <c r="DB15" s="4" t="s">
        <v>7</v>
      </c>
      <c r="DC15" s="4" t="s">
        <v>7</v>
      </c>
      <c r="DD15" s="4" t="s">
        <v>7</v>
      </c>
      <c r="DE15" s="4" t="s">
        <v>7</v>
      </c>
      <c r="DF15" s="4" t="s">
        <v>7</v>
      </c>
      <c r="DG15" s="4" t="s">
        <v>7</v>
      </c>
      <c r="DH15" s="4" t="s">
        <v>7</v>
      </c>
      <c r="DI15" s="4" t="s">
        <v>7</v>
      </c>
      <c r="DJ15" s="4" t="s">
        <v>7</v>
      </c>
      <c r="DK15" s="4" t="s">
        <v>7</v>
      </c>
      <c r="DL15" s="4" t="s">
        <v>7</v>
      </c>
      <c r="DM15" s="4" t="s">
        <v>7</v>
      </c>
      <c r="DN15" s="4" t="s">
        <v>7</v>
      </c>
      <c r="DO15" s="4" t="s">
        <v>7</v>
      </c>
      <c r="DP15" s="4" t="s">
        <v>7</v>
      </c>
      <c r="DQ15" s="4" t="s">
        <v>7</v>
      </c>
      <c r="DR15" s="4" t="s">
        <v>7</v>
      </c>
    </row>
    <row r="16" spans="1:122" x14ac:dyDescent="0.2">
      <c r="A16" s="2" t="s">
        <v>23</v>
      </c>
      <c r="B16" s="4">
        <f t="shared" si="2"/>
        <v>102</v>
      </c>
      <c r="C16" s="4">
        <f t="shared" si="3"/>
        <v>82</v>
      </c>
      <c r="D16" s="6">
        <f t="shared" si="4"/>
        <v>1</v>
      </c>
      <c r="E16" s="4">
        <f t="shared" si="0"/>
        <v>0</v>
      </c>
      <c r="F16" s="4">
        <f t="shared" si="1"/>
        <v>6</v>
      </c>
      <c r="G16" s="4">
        <f t="shared" si="5"/>
        <v>0</v>
      </c>
      <c r="H16" s="4">
        <f t="shared" si="6"/>
        <v>0</v>
      </c>
      <c r="I16" s="4">
        <f t="shared" si="7"/>
        <v>13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  <c r="CA16" s="4" t="s">
        <v>7</v>
      </c>
      <c r="CB16" s="4" t="s">
        <v>7</v>
      </c>
      <c r="CC16" s="4" t="s">
        <v>7</v>
      </c>
      <c r="CD16" s="4" t="s">
        <v>7</v>
      </c>
      <c r="CE16" s="4" t="s">
        <v>7</v>
      </c>
      <c r="CF16" s="4" t="s">
        <v>7</v>
      </c>
      <c r="CG16" s="4" t="s">
        <v>7</v>
      </c>
      <c r="CH16" s="4" t="s">
        <v>7</v>
      </c>
      <c r="CI16" s="4" t="s">
        <v>7</v>
      </c>
      <c r="CJ16" s="4" t="s">
        <v>7</v>
      </c>
      <c r="CK16" s="4" t="s">
        <v>7</v>
      </c>
      <c r="CL16" s="4" t="s">
        <v>7</v>
      </c>
      <c r="CM16" s="4" t="s">
        <v>7</v>
      </c>
      <c r="CN16" s="4" t="s">
        <v>7</v>
      </c>
      <c r="CO16" s="4" t="s">
        <v>7</v>
      </c>
      <c r="CP16" s="4" t="s">
        <v>35</v>
      </c>
      <c r="CQ16" s="4" t="s">
        <v>35</v>
      </c>
      <c r="CR16" s="4" t="s">
        <v>7</v>
      </c>
      <c r="CS16" s="4" t="s">
        <v>7</v>
      </c>
      <c r="CT16" s="4" t="s">
        <v>35</v>
      </c>
      <c r="CU16" s="4" t="s">
        <v>34</v>
      </c>
      <c r="CV16" s="4" t="s">
        <v>7</v>
      </c>
      <c r="CW16" s="4" t="s">
        <v>42</v>
      </c>
      <c r="CX16" s="4" t="s">
        <v>34</v>
      </c>
      <c r="CY16" s="4" t="s">
        <v>7</v>
      </c>
      <c r="CZ16" s="4" t="s">
        <v>7</v>
      </c>
      <c r="DA16" s="4" t="s">
        <v>7</v>
      </c>
      <c r="DB16" s="4" t="s">
        <v>7</v>
      </c>
      <c r="DC16" s="4" t="s">
        <v>7</v>
      </c>
      <c r="DD16" s="4" t="s">
        <v>7</v>
      </c>
      <c r="DE16" s="4" t="s">
        <v>7</v>
      </c>
      <c r="DF16" s="4" t="s">
        <v>7</v>
      </c>
      <c r="DG16" s="4" t="s">
        <v>7</v>
      </c>
      <c r="DH16" s="4" t="s">
        <v>7</v>
      </c>
      <c r="DI16" s="4"/>
      <c r="DJ16" s="4"/>
      <c r="DK16" s="4"/>
      <c r="DL16" s="4"/>
      <c r="DM16" s="4"/>
      <c r="DN16" s="4"/>
      <c r="DO16" s="4"/>
      <c r="DP16" s="4"/>
      <c r="DQ16" s="4"/>
      <c r="DR16" s="4"/>
    </row>
    <row r="17" spans="1:122" x14ac:dyDescent="0.2">
      <c r="A17" s="2" t="s">
        <v>24</v>
      </c>
      <c r="B17" s="4">
        <f t="shared" si="2"/>
        <v>95</v>
      </c>
      <c r="C17" s="4">
        <f t="shared" si="3"/>
        <v>70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  <c r="CA17" s="4" t="s">
        <v>7</v>
      </c>
      <c r="CB17" s="4" t="s">
        <v>7</v>
      </c>
      <c r="CC17" s="4" t="s">
        <v>7</v>
      </c>
      <c r="CD17" s="4" t="s">
        <v>7</v>
      </c>
      <c r="CE17" s="4" t="s">
        <v>7</v>
      </c>
      <c r="CF17" s="4" t="s">
        <v>7</v>
      </c>
      <c r="CG17" s="4" t="s">
        <v>7</v>
      </c>
      <c r="CH17" s="4" t="s">
        <v>7</v>
      </c>
      <c r="CI17" s="4" t="s">
        <v>7</v>
      </c>
      <c r="CJ17" s="4" t="s">
        <v>7</v>
      </c>
      <c r="CK17" s="4" t="s">
        <v>7</v>
      </c>
      <c r="CL17" s="4" t="s">
        <v>7</v>
      </c>
      <c r="CM17" s="4" t="s">
        <v>7</v>
      </c>
      <c r="CN17" s="4" t="s">
        <v>7</v>
      </c>
      <c r="CO17" s="4" t="s">
        <v>7</v>
      </c>
      <c r="CP17" s="4" t="s">
        <v>7</v>
      </c>
      <c r="CQ17" s="4" t="s">
        <v>7</v>
      </c>
      <c r="CR17" s="4" t="s">
        <v>7</v>
      </c>
      <c r="CS17" s="4" t="s">
        <v>7</v>
      </c>
      <c r="CT17" s="4" t="s">
        <v>7</v>
      </c>
      <c r="CU17" s="4" t="s">
        <v>7</v>
      </c>
      <c r="CV17" s="4" t="s">
        <v>7</v>
      </c>
      <c r="CW17" s="4" t="s">
        <v>7</v>
      </c>
      <c r="CX17" s="4" t="s">
        <v>7</v>
      </c>
      <c r="CY17" s="4" t="s">
        <v>7</v>
      </c>
      <c r="CZ17" s="4" t="s">
        <v>7</v>
      </c>
      <c r="DA17" s="4" t="s">
        <v>7</v>
      </c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</row>
    <row r="18" spans="1:122" x14ac:dyDescent="0.2">
      <c r="A18" s="2" t="s">
        <v>25</v>
      </c>
      <c r="B18" s="4">
        <f t="shared" si="2"/>
        <v>112</v>
      </c>
      <c r="C18" s="4">
        <f t="shared" si="3"/>
        <v>90</v>
      </c>
      <c r="D18" s="6">
        <f t="shared" si="4"/>
        <v>0</v>
      </c>
      <c r="E18" s="4">
        <f t="shared" si="0"/>
        <v>0</v>
      </c>
      <c r="F18" s="4">
        <f t="shared" si="1"/>
        <v>16</v>
      </c>
      <c r="G18" s="4">
        <f t="shared" si="5"/>
        <v>1</v>
      </c>
      <c r="H18" s="4">
        <f t="shared" si="6"/>
        <v>0</v>
      </c>
      <c r="I18" s="4">
        <f t="shared" si="7"/>
        <v>5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  <c r="CA18" s="4" t="s">
        <v>7</v>
      </c>
      <c r="CB18" s="4" t="s">
        <v>7</v>
      </c>
      <c r="CC18" s="4" t="s">
        <v>7</v>
      </c>
      <c r="CD18" s="4" t="s">
        <v>7</v>
      </c>
      <c r="CE18" s="4" t="s">
        <v>7</v>
      </c>
      <c r="CF18" s="4" t="s">
        <v>38</v>
      </c>
      <c r="CG18" s="4" t="s">
        <v>7</v>
      </c>
      <c r="CH18" s="4" t="s">
        <v>7</v>
      </c>
      <c r="CI18" s="4" t="s">
        <v>7</v>
      </c>
      <c r="CJ18" s="4" t="s">
        <v>7</v>
      </c>
      <c r="CK18" s="4" t="s">
        <v>7</v>
      </c>
      <c r="CL18" s="4" t="s">
        <v>7</v>
      </c>
      <c r="CM18" s="4" t="s">
        <v>7</v>
      </c>
      <c r="CN18" s="4" t="s">
        <v>7</v>
      </c>
      <c r="CO18" s="4" t="s">
        <v>7</v>
      </c>
      <c r="CP18" s="4" t="s">
        <v>7</v>
      </c>
      <c r="CQ18" s="4" t="s">
        <v>7</v>
      </c>
      <c r="CR18" s="4" t="s">
        <v>7</v>
      </c>
      <c r="CS18" s="4" t="s">
        <v>7</v>
      </c>
      <c r="CT18" s="4" t="s">
        <v>7</v>
      </c>
      <c r="CU18" s="4" t="s">
        <v>7</v>
      </c>
      <c r="CV18" s="4" t="s">
        <v>7</v>
      </c>
      <c r="CW18" s="4" t="s">
        <v>7</v>
      </c>
      <c r="CX18" s="4" t="s">
        <v>7</v>
      </c>
      <c r="CY18" s="4" t="s">
        <v>35</v>
      </c>
      <c r="CZ18" s="4" t="s">
        <v>7</v>
      </c>
      <c r="DA18" s="4" t="s">
        <v>7</v>
      </c>
      <c r="DB18" s="4" t="s">
        <v>7</v>
      </c>
      <c r="DC18" s="4" t="s">
        <v>35</v>
      </c>
      <c r="DD18" s="4" t="s">
        <v>35</v>
      </c>
      <c r="DE18" s="4" t="s">
        <v>35</v>
      </c>
      <c r="DF18" s="4" t="s">
        <v>35</v>
      </c>
      <c r="DG18" s="4" t="s">
        <v>34</v>
      </c>
      <c r="DH18" s="4" t="s">
        <v>34</v>
      </c>
      <c r="DI18" s="4" t="s">
        <v>35</v>
      </c>
      <c r="DJ18" s="4" t="s">
        <v>7</v>
      </c>
      <c r="DK18" s="4" t="s">
        <v>7</v>
      </c>
      <c r="DL18" s="4" t="s">
        <v>35</v>
      </c>
      <c r="DM18" s="4" t="s">
        <v>35</v>
      </c>
      <c r="DN18" s="4" t="s">
        <v>35</v>
      </c>
      <c r="DO18" s="4" t="s">
        <v>35</v>
      </c>
      <c r="DP18" s="4" t="s">
        <v>35</v>
      </c>
      <c r="DQ18" s="4" t="s">
        <v>35</v>
      </c>
      <c r="DR18" s="4" t="s">
        <v>34</v>
      </c>
    </row>
    <row r="19" spans="1:122" x14ac:dyDescent="0.2">
      <c r="A19" s="2" t="s">
        <v>26</v>
      </c>
      <c r="B19" s="4">
        <f t="shared" si="2"/>
        <v>112</v>
      </c>
      <c r="C19" s="4">
        <f t="shared" si="3"/>
        <v>99</v>
      </c>
      <c r="D19" s="6">
        <f t="shared" si="4"/>
        <v>0</v>
      </c>
      <c r="E19" s="4">
        <f t="shared" si="0"/>
        <v>2</v>
      </c>
      <c r="F19" s="4">
        <f t="shared" si="1"/>
        <v>6</v>
      </c>
      <c r="G19" s="4">
        <f t="shared" si="5"/>
        <v>2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  <c r="CA19" s="4" t="s">
        <v>7</v>
      </c>
      <c r="CB19" s="4" t="s">
        <v>7</v>
      </c>
      <c r="CC19" s="4" t="s">
        <v>7</v>
      </c>
      <c r="CD19" s="4" t="s">
        <v>7</v>
      </c>
      <c r="CE19" s="4" t="s">
        <v>7</v>
      </c>
      <c r="CF19" s="4" t="s">
        <v>7</v>
      </c>
      <c r="CG19" s="4" t="s">
        <v>7</v>
      </c>
      <c r="CH19" s="4" t="s">
        <v>7</v>
      </c>
      <c r="CI19" s="4" t="s">
        <v>7</v>
      </c>
      <c r="CJ19" s="4" t="s">
        <v>7</v>
      </c>
      <c r="CK19" s="4" t="s">
        <v>7</v>
      </c>
      <c r="CL19" s="4" t="s">
        <v>7</v>
      </c>
      <c r="CM19" s="4" t="s">
        <v>7</v>
      </c>
      <c r="CN19" s="4" t="s">
        <v>7</v>
      </c>
      <c r="CO19" s="4" t="s">
        <v>7</v>
      </c>
      <c r="CP19" s="4" t="s">
        <v>7</v>
      </c>
      <c r="CQ19" s="4" t="s">
        <v>7</v>
      </c>
      <c r="CR19" s="4" t="s">
        <v>7</v>
      </c>
      <c r="CS19" s="4" t="s">
        <v>7</v>
      </c>
      <c r="CT19" s="4" t="s">
        <v>7</v>
      </c>
      <c r="CU19" s="4" t="s">
        <v>7</v>
      </c>
      <c r="CV19" s="4" t="s">
        <v>7</v>
      </c>
      <c r="CW19" s="4" t="s">
        <v>7</v>
      </c>
      <c r="CX19" s="4" t="s">
        <v>7</v>
      </c>
      <c r="CY19" s="4" t="s">
        <v>7</v>
      </c>
      <c r="CZ19" s="4" t="s">
        <v>7</v>
      </c>
      <c r="DA19" s="4" t="s">
        <v>7</v>
      </c>
      <c r="DB19" s="4" t="s">
        <v>7</v>
      </c>
      <c r="DC19" s="4" t="s">
        <v>7</v>
      </c>
      <c r="DD19" s="4" t="s">
        <v>7</v>
      </c>
      <c r="DE19" s="4" t="s">
        <v>7</v>
      </c>
      <c r="DF19" s="4" t="s">
        <v>7</v>
      </c>
      <c r="DG19" s="4" t="s">
        <v>7</v>
      </c>
      <c r="DH19" s="4" t="s">
        <v>7</v>
      </c>
      <c r="DI19" s="4" t="s">
        <v>7</v>
      </c>
      <c r="DJ19" s="4" t="s">
        <v>7</v>
      </c>
      <c r="DK19" s="4" t="s">
        <v>7</v>
      </c>
      <c r="DL19" s="4" t="s">
        <v>7</v>
      </c>
      <c r="DM19" s="4" t="s">
        <v>7</v>
      </c>
      <c r="DN19" s="4" t="s">
        <v>38</v>
      </c>
      <c r="DO19" s="4" t="s">
        <v>7</v>
      </c>
      <c r="DP19" s="4" t="s">
        <v>7</v>
      </c>
      <c r="DQ19" s="4" t="s">
        <v>7</v>
      </c>
      <c r="DR19" s="4" t="s">
        <v>7</v>
      </c>
    </row>
    <row r="20" spans="1:122" x14ac:dyDescent="0.2">
      <c r="A20" s="2" t="s">
        <v>27</v>
      </c>
      <c r="B20" s="4">
        <f t="shared" si="2"/>
        <v>112</v>
      </c>
      <c r="C20" s="4">
        <f t="shared" si="3"/>
        <v>108</v>
      </c>
      <c r="D20" s="6">
        <f t="shared" si="4"/>
        <v>0</v>
      </c>
      <c r="E20" s="4">
        <f t="shared" si="0"/>
        <v>0</v>
      </c>
      <c r="F20" s="4">
        <f t="shared" si="1"/>
        <v>3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  <c r="CA20" s="4" t="s">
        <v>7</v>
      </c>
      <c r="CB20" s="4" t="s">
        <v>7</v>
      </c>
      <c r="CC20" s="4" t="s">
        <v>7</v>
      </c>
      <c r="CD20" s="4" t="s">
        <v>7</v>
      </c>
      <c r="CE20" s="4" t="s">
        <v>7</v>
      </c>
      <c r="CF20" s="4" t="s">
        <v>7</v>
      </c>
      <c r="CG20" s="4" t="s">
        <v>7</v>
      </c>
      <c r="CH20" s="4" t="s">
        <v>7</v>
      </c>
      <c r="CI20" s="4" t="s">
        <v>7</v>
      </c>
      <c r="CJ20" s="4" t="s">
        <v>7</v>
      </c>
      <c r="CK20" s="4" t="s">
        <v>7</v>
      </c>
      <c r="CL20" s="4" t="s">
        <v>7</v>
      </c>
      <c r="CM20" s="4" t="s">
        <v>7</v>
      </c>
      <c r="CN20" s="4" t="s">
        <v>7</v>
      </c>
      <c r="CO20" s="4" t="s">
        <v>7</v>
      </c>
      <c r="CP20" s="4" t="s">
        <v>7</v>
      </c>
      <c r="CQ20" s="4" t="s">
        <v>7</v>
      </c>
      <c r="CR20" s="4" t="s">
        <v>7</v>
      </c>
      <c r="CS20" s="4" t="s">
        <v>7</v>
      </c>
      <c r="CT20" s="4" t="s">
        <v>7</v>
      </c>
      <c r="CU20" s="4" t="s">
        <v>7</v>
      </c>
      <c r="CV20" s="4" t="s">
        <v>7</v>
      </c>
      <c r="CW20" s="4" t="s">
        <v>7</v>
      </c>
      <c r="CX20" s="4" t="s">
        <v>7</v>
      </c>
      <c r="CY20" s="4" t="s">
        <v>7</v>
      </c>
      <c r="CZ20" s="4" t="s">
        <v>7</v>
      </c>
      <c r="DA20" s="4" t="s">
        <v>7</v>
      </c>
      <c r="DB20" s="4" t="s">
        <v>7</v>
      </c>
      <c r="DC20" s="4" t="s">
        <v>7</v>
      </c>
      <c r="DD20" s="4" t="s">
        <v>7</v>
      </c>
      <c r="DE20" s="4" t="s">
        <v>7</v>
      </c>
      <c r="DF20" s="4" t="s">
        <v>7</v>
      </c>
      <c r="DG20" s="4" t="s">
        <v>7</v>
      </c>
      <c r="DH20" s="4" t="s">
        <v>7</v>
      </c>
      <c r="DI20" s="4" t="s">
        <v>7</v>
      </c>
      <c r="DJ20" s="4" t="s">
        <v>35</v>
      </c>
      <c r="DK20" s="4" t="s">
        <v>7</v>
      </c>
      <c r="DL20" s="4" t="s">
        <v>7</v>
      </c>
      <c r="DM20" s="4" t="s">
        <v>7</v>
      </c>
      <c r="DN20" s="4" t="s">
        <v>7</v>
      </c>
      <c r="DO20" s="4" t="s">
        <v>35</v>
      </c>
      <c r="DP20" s="4" t="s">
        <v>7</v>
      </c>
      <c r="DQ20" s="4" t="s">
        <v>7</v>
      </c>
      <c r="DR20" s="4" t="s">
        <v>7</v>
      </c>
    </row>
    <row r="21" spans="1:122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</row>
    <row r="22" spans="1:122" x14ac:dyDescent="0.2">
      <c r="A22" s="4" t="s">
        <v>29</v>
      </c>
      <c r="B22" s="4">
        <f t="shared" ref="B22:B26" si="9">COUNTA(K22:VR22)</f>
        <v>112</v>
      </c>
      <c r="C22" s="4">
        <f t="shared" ref="C22:C26" si="10">COUNTIF(K22:VR22,"P")</f>
        <v>107</v>
      </c>
      <c r="D22" s="6">
        <f t="shared" si="4"/>
        <v>3</v>
      </c>
      <c r="E22" s="4">
        <f t="shared" si="0"/>
        <v>0</v>
      </c>
      <c r="F22" s="4">
        <f t="shared" si="1"/>
        <v>1</v>
      </c>
      <c r="G22" s="4">
        <f t="shared" si="5"/>
        <v>1</v>
      </c>
      <c r="H22" s="4">
        <f t="shared" si="6"/>
        <v>0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42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  <c r="CA22" s="4" t="s">
        <v>7</v>
      </c>
      <c r="CB22" s="4" t="s">
        <v>7</v>
      </c>
      <c r="CC22" s="4" t="s">
        <v>7</v>
      </c>
      <c r="CD22" s="4" t="s">
        <v>7</v>
      </c>
      <c r="CE22" s="4" t="s">
        <v>7</v>
      </c>
      <c r="CF22" s="4" t="s">
        <v>7</v>
      </c>
      <c r="CG22" s="4" t="s">
        <v>7</v>
      </c>
      <c r="CH22" s="4" t="s">
        <v>7</v>
      </c>
      <c r="CI22" s="4" t="s">
        <v>7</v>
      </c>
      <c r="CJ22" s="4" t="s">
        <v>7</v>
      </c>
      <c r="CK22" s="4" t="s">
        <v>7</v>
      </c>
      <c r="CL22" s="4" t="s">
        <v>7</v>
      </c>
      <c r="CM22" s="4" t="s">
        <v>7</v>
      </c>
      <c r="CN22" s="4" t="s">
        <v>7</v>
      </c>
      <c r="CO22" s="4" t="s">
        <v>7</v>
      </c>
      <c r="CP22" s="4" t="s">
        <v>7</v>
      </c>
      <c r="CQ22" s="4" t="s">
        <v>7</v>
      </c>
      <c r="CR22" s="4" t="s">
        <v>7</v>
      </c>
      <c r="CS22" s="4" t="s">
        <v>7</v>
      </c>
      <c r="CT22" s="4" t="s">
        <v>7</v>
      </c>
      <c r="CU22" s="4" t="s">
        <v>7</v>
      </c>
      <c r="CV22" s="4" t="s">
        <v>7</v>
      </c>
      <c r="CW22" s="4" t="s">
        <v>7</v>
      </c>
      <c r="CX22" s="4" t="s">
        <v>7</v>
      </c>
      <c r="CY22" s="4" t="s">
        <v>42</v>
      </c>
      <c r="CZ22" s="4" t="s">
        <v>38</v>
      </c>
      <c r="DA22" s="4" t="s">
        <v>7</v>
      </c>
      <c r="DB22" s="4" t="s">
        <v>7</v>
      </c>
      <c r="DC22" s="4" t="s">
        <v>7</v>
      </c>
      <c r="DD22" s="4" t="s">
        <v>7</v>
      </c>
      <c r="DE22" s="4" t="s">
        <v>7</v>
      </c>
      <c r="DF22" s="4" t="s">
        <v>7</v>
      </c>
      <c r="DG22" s="4" t="s">
        <v>7</v>
      </c>
      <c r="DH22" s="4" t="s">
        <v>7</v>
      </c>
      <c r="DI22" s="4" t="s">
        <v>7</v>
      </c>
      <c r="DJ22" s="4" t="s">
        <v>7</v>
      </c>
      <c r="DK22" s="4" t="s">
        <v>7</v>
      </c>
      <c r="DL22" s="4" t="s">
        <v>7</v>
      </c>
      <c r="DM22" s="4" t="s">
        <v>7</v>
      </c>
      <c r="DN22" s="4" t="s">
        <v>7</v>
      </c>
      <c r="DO22" s="4" t="s">
        <v>35</v>
      </c>
      <c r="DP22" s="4" t="s">
        <v>7</v>
      </c>
      <c r="DQ22" s="4" t="s">
        <v>7</v>
      </c>
      <c r="DR22" s="4" t="s">
        <v>7</v>
      </c>
    </row>
    <row r="23" spans="1:122" x14ac:dyDescent="0.2">
      <c r="A23" s="2" t="s">
        <v>30</v>
      </c>
      <c r="B23" s="4">
        <f t="shared" si="9"/>
        <v>87</v>
      </c>
      <c r="C23" s="4">
        <f t="shared" si="10"/>
        <v>38</v>
      </c>
      <c r="D23" s="6">
        <f t="shared" si="4"/>
        <v>2</v>
      </c>
      <c r="E23" s="4">
        <f t="shared" si="0"/>
        <v>4</v>
      </c>
      <c r="F23" s="4">
        <f t="shared" si="1"/>
        <v>27</v>
      </c>
      <c r="G23" s="4">
        <f t="shared" si="5"/>
        <v>0</v>
      </c>
      <c r="H23" s="4">
        <f t="shared" si="6"/>
        <v>4</v>
      </c>
      <c r="I23" s="4">
        <f t="shared" si="7"/>
        <v>12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  <c r="CA23" s="4" t="s">
        <v>35</v>
      </c>
      <c r="CB23" s="4" t="s">
        <v>7</v>
      </c>
      <c r="CC23" s="4" t="s">
        <v>7</v>
      </c>
      <c r="CD23" s="4" t="s">
        <v>7</v>
      </c>
      <c r="CE23" s="4" t="s">
        <v>42</v>
      </c>
      <c r="CF23" s="4" t="s">
        <v>7</v>
      </c>
      <c r="CG23" s="4" t="s">
        <v>7</v>
      </c>
      <c r="CH23" s="4" t="s">
        <v>7</v>
      </c>
      <c r="CI23" s="4" t="s">
        <v>40</v>
      </c>
      <c r="CJ23" s="4" t="s">
        <v>34</v>
      </c>
      <c r="CK23" s="4" t="s">
        <v>32</v>
      </c>
      <c r="CL23" s="4" t="s">
        <v>35</v>
      </c>
      <c r="CM23" s="4" t="s">
        <v>35</v>
      </c>
      <c r="CN23" s="4" t="s">
        <v>35</v>
      </c>
      <c r="CO23" s="4" t="s">
        <v>35</v>
      </c>
      <c r="CP23" s="4" t="s">
        <v>35</v>
      </c>
      <c r="CQ23" s="4" t="s">
        <v>35</v>
      </c>
      <c r="CR23" s="4" t="s">
        <v>35</v>
      </c>
      <c r="CS23" s="4" t="s">
        <v>35</v>
      </c>
    </row>
    <row r="24" spans="1:122" x14ac:dyDescent="0.2">
      <c r="A24" s="2" t="s">
        <v>31</v>
      </c>
      <c r="B24" s="4">
        <f t="shared" si="9"/>
        <v>112</v>
      </c>
      <c r="C24" s="4">
        <f t="shared" si="10"/>
        <v>104</v>
      </c>
      <c r="D24" s="6">
        <f t="shared" si="4"/>
        <v>0</v>
      </c>
      <c r="E24" s="4">
        <f t="shared" si="0"/>
        <v>1</v>
      </c>
      <c r="F24" s="4">
        <f t="shared" si="1"/>
        <v>6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  <c r="CA24" s="4" t="s">
        <v>7</v>
      </c>
      <c r="CB24" s="4" t="s">
        <v>7</v>
      </c>
      <c r="CC24" s="4" t="s">
        <v>7</v>
      </c>
      <c r="CD24" s="4" t="s">
        <v>7</v>
      </c>
      <c r="CE24" s="4" t="s">
        <v>7</v>
      </c>
      <c r="CF24" s="4" t="s">
        <v>7</v>
      </c>
      <c r="CG24" s="4" t="s">
        <v>7</v>
      </c>
      <c r="CH24" s="4" t="s">
        <v>7</v>
      </c>
      <c r="CI24" s="4" t="s">
        <v>7</v>
      </c>
      <c r="CJ24" s="4" t="s">
        <v>7</v>
      </c>
      <c r="CK24" s="4" t="s">
        <v>7</v>
      </c>
      <c r="CL24" s="4" t="s">
        <v>7</v>
      </c>
      <c r="CM24" s="4" t="s">
        <v>7</v>
      </c>
      <c r="CN24" s="4" t="s">
        <v>7</v>
      </c>
      <c r="CO24" s="4" t="s">
        <v>7</v>
      </c>
      <c r="CP24" s="4" t="s">
        <v>7</v>
      </c>
      <c r="CQ24" s="4" t="s">
        <v>7</v>
      </c>
      <c r="CR24" s="4" t="s">
        <v>7</v>
      </c>
      <c r="CS24" s="4" t="s">
        <v>7</v>
      </c>
      <c r="CT24" s="4" t="s">
        <v>7</v>
      </c>
      <c r="CU24" s="4" t="s">
        <v>7</v>
      </c>
      <c r="CV24" s="4" t="s">
        <v>7</v>
      </c>
      <c r="CW24" s="4" t="s">
        <v>7</v>
      </c>
      <c r="CX24" s="4" t="s">
        <v>7</v>
      </c>
      <c r="CY24" s="4" t="s">
        <v>7</v>
      </c>
      <c r="CZ24" s="4" t="s">
        <v>7</v>
      </c>
      <c r="DA24" s="4" t="s">
        <v>7</v>
      </c>
      <c r="DB24" s="4" t="s">
        <v>7</v>
      </c>
      <c r="DC24" s="4" t="s">
        <v>7</v>
      </c>
      <c r="DD24" s="4" t="s">
        <v>7</v>
      </c>
      <c r="DE24" s="4" t="s">
        <v>7</v>
      </c>
      <c r="DF24" s="4" t="s">
        <v>7</v>
      </c>
      <c r="DG24" s="4" t="s">
        <v>7</v>
      </c>
      <c r="DH24" s="4" t="s">
        <v>7</v>
      </c>
      <c r="DI24" s="4" t="s">
        <v>7</v>
      </c>
      <c r="DJ24" s="4" t="s">
        <v>7</v>
      </c>
      <c r="DK24" s="4" t="s">
        <v>7</v>
      </c>
      <c r="DL24" s="4" t="s">
        <v>7</v>
      </c>
      <c r="DM24" s="4" t="s">
        <v>7</v>
      </c>
      <c r="DN24" s="4" t="s">
        <v>35</v>
      </c>
      <c r="DO24" s="4" t="s">
        <v>7</v>
      </c>
      <c r="DP24" s="4" t="s">
        <v>7</v>
      </c>
      <c r="DQ24" s="4" t="s">
        <v>7</v>
      </c>
      <c r="DR24" s="4" t="s">
        <v>7</v>
      </c>
    </row>
    <row r="25" spans="1:122" x14ac:dyDescent="0.2">
      <c r="A25" s="2" t="s">
        <v>39</v>
      </c>
      <c r="B25" s="4">
        <f t="shared" si="9"/>
        <v>96</v>
      </c>
      <c r="C25" s="4">
        <f t="shared" si="10"/>
        <v>68</v>
      </c>
      <c r="D25" s="6">
        <f t="shared" si="4"/>
        <v>0</v>
      </c>
      <c r="E25" s="4">
        <f t="shared" si="0"/>
        <v>6</v>
      </c>
      <c r="F25" s="4">
        <f t="shared" si="1"/>
        <v>11</v>
      </c>
      <c r="G25" s="4">
        <f t="shared" si="5"/>
        <v>3</v>
      </c>
      <c r="H25" s="4">
        <f t="shared" si="6"/>
        <v>5</v>
      </c>
      <c r="I25" s="4">
        <f t="shared" si="7"/>
        <v>3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  <c r="CA25" s="4" t="s">
        <v>7</v>
      </c>
      <c r="CB25" s="4" t="s">
        <v>7</v>
      </c>
      <c r="CC25" s="4" t="s">
        <v>7</v>
      </c>
      <c r="CD25" s="4" t="s">
        <v>7</v>
      </c>
      <c r="CE25" s="4" t="s">
        <v>7</v>
      </c>
      <c r="CF25" s="4" t="s">
        <v>35</v>
      </c>
      <c r="CG25" s="4" t="s">
        <v>35</v>
      </c>
      <c r="CH25" s="4" t="s">
        <v>35</v>
      </c>
      <c r="CI25" s="4" t="s">
        <v>35</v>
      </c>
      <c r="CJ25" s="4" t="s">
        <v>35</v>
      </c>
      <c r="CK25" s="4" t="s">
        <v>35</v>
      </c>
      <c r="CL25" s="4" t="s">
        <v>35</v>
      </c>
      <c r="CM25" s="4" t="s">
        <v>34</v>
      </c>
      <c r="CN25" s="4" t="s">
        <v>34</v>
      </c>
      <c r="CO25" s="4" t="s">
        <v>34</v>
      </c>
      <c r="CP25" s="4" t="s">
        <v>7</v>
      </c>
      <c r="CQ25" s="4" t="s">
        <v>7</v>
      </c>
      <c r="CR25" s="4" t="s">
        <v>7</v>
      </c>
      <c r="CS25" s="4" t="s">
        <v>7</v>
      </c>
      <c r="CT25" s="4" t="s">
        <v>32</v>
      </c>
      <c r="CU25" s="4" t="s">
        <v>32</v>
      </c>
      <c r="CV25" s="4" t="s">
        <v>32</v>
      </c>
      <c r="CW25" s="4" t="s">
        <v>32</v>
      </c>
      <c r="CX25" s="4" t="s">
        <v>40</v>
      </c>
      <c r="CY25" s="4" t="s">
        <v>40</v>
      </c>
      <c r="CZ25" s="4" t="s">
        <v>40</v>
      </c>
      <c r="DA25" s="4" t="s">
        <v>40</v>
      </c>
      <c r="DB25" s="4" t="s">
        <v>40</v>
      </c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</row>
    <row r="26" spans="1:122" x14ac:dyDescent="0.2">
      <c r="A26" s="2" t="s">
        <v>36</v>
      </c>
      <c r="B26" s="4">
        <f t="shared" si="9"/>
        <v>112</v>
      </c>
      <c r="C26" s="4">
        <f t="shared" si="10"/>
        <v>99</v>
      </c>
      <c r="D26" s="6">
        <f t="shared" si="4"/>
        <v>0</v>
      </c>
      <c r="E26" s="4">
        <f t="shared" si="0"/>
        <v>4</v>
      </c>
      <c r="F26" s="4">
        <f t="shared" si="1"/>
        <v>3</v>
      </c>
      <c r="G26" s="4">
        <f t="shared" si="5"/>
        <v>5</v>
      </c>
      <c r="H26" s="4">
        <f t="shared" si="6"/>
        <v>0</v>
      </c>
      <c r="I26" s="4">
        <f t="shared" si="7"/>
        <v>1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  <c r="CA26" s="4" t="s">
        <v>7</v>
      </c>
      <c r="CB26" s="4" t="s">
        <v>7</v>
      </c>
      <c r="CC26" s="4" t="s">
        <v>7</v>
      </c>
      <c r="CD26" s="4" t="s">
        <v>7</v>
      </c>
      <c r="CE26" s="4" t="s">
        <v>7</v>
      </c>
      <c r="CF26" s="4" t="s">
        <v>7</v>
      </c>
      <c r="CG26" s="4" t="s">
        <v>7</v>
      </c>
      <c r="CH26" s="4" t="s">
        <v>7</v>
      </c>
      <c r="CI26" s="4" t="s">
        <v>35</v>
      </c>
      <c r="CJ26" s="4" t="s">
        <v>7</v>
      </c>
      <c r="CK26" s="4" t="s">
        <v>38</v>
      </c>
      <c r="CL26" s="4" t="s">
        <v>38</v>
      </c>
      <c r="CM26" s="4" t="s">
        <v>7</v>
      </c>
      <c r="CN26" s="4" t="s">
        <v>7</v>
      </c>
      <c r="CO26" s="4" t="s">
        <v>7</v>
      </c>
      <c r="CP26" s="4" t="s">
        <v>7</v>
      </c>
      <c r="CQ26" s="4" t="s">
        <v>7</v>
      </c>
      <c r="CR26" s="4" t="s">
        <v>7</v>
      </c>
      <c r="CS26" s="4" t="s">
        <v>7</v>
      </c>
      <c r="CT26" s="4" t="s">
        <v>7</v>
      </c>
      <c r="CU26" s="4" t="s">
        <v>38</v>
      </c>
      <c r="CV26" s="4" t="s">
        <v>38</v>
      </c>
      <c r="CW26" s="4" t="s">
        <v>7</v>
      </c>
      <c r="CX26" s="4" t="s">
        <v>7</v>
      </c>
      <c r="CY26" s="4" t="s">
        <v>7</v>
      </c>
      <c r="CZ26" s="4" t="s">
        <v>7</v>
      </c>
      <c r="DA26" s="4" t="s">
        <v>35</v>
      </c>
      <c r="DB26" s="4" t="s">
        <v>35</v>
      </c>
      <c r="DC26" s="4" t="s">
        <v>34</v>
      </c>
      <c r="DD26" s="4" t="s">
        <v>7</v>
      </c>
      <c r="DE26" s="4" t="s">
        <v>7</v>
      </c>
      <c r="DF26" s="4" t="s">
        <v>32</v>
      </c>
      <c r="DG26" s="4" t="s">
        <v>32</v>
      </c>
      <c r="DH26" s="4" t="s">
        <v>32</v>
      </c>
      <c r="DI26" s="4" t="s">
        <v>32</v>
      </c>
      <c r="DJ26" s="4" t="s">
        <v>7</v>
      </c>
      <c r="DK26" s="4" t="s">
        <v>7</v>
      </c>
      <c r="DL26" s="4" t="s">
        <v>7</v>
      </c>
      <c r="DM26" s="4" t="s">
        <v>7</v>
      </c>
      <c r="DN26" s="4" t="s">
        <v>7</v>
      </c>
      <c r="DO26" s="4" t="s">
        <v>7</v>
      </c>
      <c r="DP26" s="4" t="s">
        <v>7</v>
      </c>
      <c r="DQ26" s="4" t="s">
        <v>7</v>
      </c>
      <c r="DR26" s="4" t="s">
        <v>7</v>
      </c>
    </row>
    <row r="27" spans="1:122" x14ac:dyDescent="0.2">
      <c r="A27" s="2" t="s">
        <v>37</v>
      </c>
      <c r="B27" s="4">
        <f t="shared" ref="B27:B29" si="11">COUNTA(K27:VR27)</f>
        <v>102</v>
      </c>
      <c r="C27" s="4">
        <f t="shared" ref="C27:C29" si="12">COUNTIF(K27:VR27,"P")</f>
        <v>72</v>
      </c>
      <c r="D27" s="6">
        <f t="shared" ref="D27:D29" si="13">COUNTIF(K27:VR27,"REP")</f>
        <v>7</v>
      </c>
      <c r="E27" s="4">
        <f t="shared" ref="E27:E29" si="14">COUNTIF(K27:VS27,"A")</f>
        <v>0</v>
      </c>
      <c r="F27" s="4">
        <f t="shared" ref="F27:F29" si="15">COUNTIF(K27:VT27,"B")</f>
        <v>0</v>
      </c>
      <c r="G27" s="4">
        <f t="shared" ref="G27:G29" si="16">COUNTIF(K27:VU27,"M")</f>
        <v>1</v>
      </c>
      <c r="H27" s="4">
        <f t="shared" ref="H27:H29" si="17">COUNTIF(K27:VV27,"R")</f>
        <v>0</v>
      </c>
      <c r="I27" s="4">
        <f t="shared" ref="I27:I29" si="18">COUNTIF(K27:VW27,"RH")</f>
        <v>22</v>
      </c>
      <c r="J27" s="4">
        <f t="shared" ref="J27:J29" si="19">COUNTIF(K27:VW27,"S")</f>
        <v>0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  <c r="CA27" s="4" t="s">
        <v>7</v>
      </c>
      <c r="CB27" s="4" t="s">
        <v>7</v>
      </c>
      <c r="CC27" s="4" t="s">
        <v>7</v>
      </c>
      <c r="CD27" s="4" t="s">
        <v>7</v>
      </c>
      <c r="CE27" s="4" t="s">
        <v>7</v>
      </c>
      <c r="CF27" s="4" t="s">
        <v>7</v>
      </c>
      <c r="CG27" s="4" t="s">
        <v>7</v>
      </c>
      <c r="CH27" s="4" t="s">
        <v>7</v>
      </c>
      <c r="CI27" s="4" t="s">
        <v>7</v>
      </c>
      <c r="CJ27" s="4" t="s">
        <v>7</v>
      </c>
      <c r="CK27" s="4" t="s">
        <v>7</v>
      </c>
      <c r="CL27" s="4" t="s">
        <v>7</v>
      </c>
      <c r="CM27" s="4" t="s">
        <v>7</v>
      </c>
      <c r="CN27" s="4" t="s">
        <v>7</v>
      </c>
      <c r="CO27" s="4" t="s">
        <v>7</v>
      </c>
      <c r="CP27" s="4" t="s">
        <v>7</v>
      </c>
      <c r="CQ27" s="4" t="s">
        <v>7</v>
      </c>
      <c r="CR27" s="4" t="s">
        <v>42</v>
      </c>
      <c r="CS27" s="4" t="s">
        <v>7</v>
      </c>
      <c r="CT27" s="4" t="s">
        <v>7</v>
      </c>
      <c r="CU27" s="4" t="s">
        <v>7</v>
      </c>
      <c r="CV27" s="4" t="s">
        <v>7</v>
      </c>
      <c r="CW27" s="4" t="s">
        <v>7</v>
      </c>
      <c r="CX27" s="4" t="s">
        <v>7</v>
      </c>
      <c r="CY27" s="4" t="s">
        <v>7</v>
      </c>
      <c r="CZ27" s="4" t="s">
        <v>7</v>
      </c>
      <c r="DA27" s="4" t="s">
        <v>7</v>
      </c>
      <c r="DB27" s="4" t="s">
        <v>7</v>
      </c>
      <c r="DC27" s="4" t="s">
        <v>42</v>
      </c>
      <c r="DD27" s="4" t="s">
        <v>7</v>
      </c>
      <c r="DE27" s="4" t="s">
        <v>7</v>
      </c>
      <c r="DF27" s="4" t="s">
        <v>7</v>
      </c>
      <c r="DG27" s="4" t="s">
        <v>7</v>
      </c>
      <c r="DH27" s="4" t="s">
        <v>7</v>
      </c>
      <c r="DI27" s="4" t="s">
        <v>7</v>
      </c>
      <c r="DJ27" s="4" t="s">
        <v>7</v>
      </c>
      <c r="DK27" s="4" t="s">
        <v>7</v>
      </c>
      <c r="DL27" s="4" t="s">
        <v>7</v>
      </c>
      <c r="DM27" s="4" t="s">
        <v>7</v>
      </c>
      <c r="DN27" s="4" t="s">
        <v>7</v>
      </c>
      <c r="DO27" s="4" t="s">
        <v>7</v>
      </c>
      <c r="DP27" s="4" t="s">
        <v>7</v>
      </c>
      <c r="DQ27" s="4" t="s">
        <v>7</v>
      </c>
      <c r="DR27" s="4" t="s">
        <v>7</v>
      </c>
    </row>
    <row r="28" spans="1:122" x14ac:dyDescent="0.2">
      <c r="A28" s="2" t="s">
        <v>44</v>
      </c>
      <c r="B28" s="4">
        <f t="shared" si="11"/>
        <v>80</v>
      </c>
      <c r="C28" s="4">
        <f t="shared" si="12"/>
        <v>78</v>
      </c>
      <c r="D28" s="6">
        <f t="shared" si="13"/>
        <v>1</v>
      </c>
      <c r="E28" s="4">
        <f t="shared" si="14"/>
        <v>0</v>
      </c>
      <c r="F28" s="4">
        <f t="shared" si="15"/>
        <v>0</v>
      </c>
      <c r="G28" s="4">
        <f t="shared" si="16"/>
        <v>1</v>
      </c>
      <c r="H28" s="4">
        <f t="shared" si="17"/>
        <v>0</v>
      </c>
      <c r="I28" s="4">
        <f t="shared" si="18"/>
        <v>0</v>
      </c>
      <c r="J28" s="4">
        <f t="shared" si="19"/>
        <v>0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  <c r="CA28" s="4" t="s">
        <v>7</v>
      </c>
      <c r="CB28" s="4" t="s">
        <v>7</v>
      </c>
      <c r="CC28" s="4" t="s">
        <v>7</v>
      </c>
      <c r="CD28" s="4" t="s">
        <v>7</v>
      </c>
      <c r="CE28" s="4" t="s">
        <v>7</v>
      </c>
      <c r="CF28" s="4" t="s">
        <v>7</v>
      </c>
      <c r="CG28" s="4" t="s">
        <v>7</v>
      </c>
      <c r="CH28" s="4" t="s">
        <v>7</v>
      </c>
      <c r="CI28" s="4" t="s">
        <v>7</v>
      </c>
      <c r="CJ28" s="4" t="s">
        <v>7</v>
      </c>
      <c r="CK28" s="4" t="s">
        <v>7</v>
      </c>
      <c r="CL28" s="4" t="s">
        <v>7</v>
      </c>
      <c r="CM28" s="4" t="s">
        <v>7</v>
      </c>
      <c r="CN28" s="4" t="s">
        <v>7</v>
      </c>
      <c r="CO28" s="4" t="s">
        <v>7</v>
      </c>
      <c r="CP28" s="4" t="s">
        <v>7</v>
      </c>
      <c r="CQ28" s="4" t="s">
        <v>7</v>
      </c>
      <c r="CR28" s="4" t="s">
        <v>7</v>
      </c>
      <c r="CS28" s="4" t="s">
        <v>7</v>
      </c>
      <c r="CT28" s="4" t="s">
        <v>7</v>
      </c>
      <c r="CU28" s="4" t="s">
        <v>7</v>
      </c>
      <c r="CV28" s="4" t="s">
        <v>7</v>
      </c>
      <c r="CW28" s="4" t="s">
        <v>7</v>
      </c>
      <c r="CX28" s="4" t="s">
        <v>7</v>
      </c>
      <c r="CY28" s="4" t="s">
        <v>7</v>
      </c>
      <c r="CZ28" s="4" t="s">
        <v>7</v>
      </c>
      <c r="DA28" s="4" t="s">
        <v>7</v>
      </c>
      <c r="DB28" s="4" t="s">
        <v>7</v>
      </c>
      <c r="DC28" s="4" t="s">
        <v>38</v>
      </c>
      <c r="DD28" s="4" t="s">
        <v>7</v>
      </c>
      <c r="DE28" s="4" t="s">
        <v>7</v>
      </c>
      <c r="DF28" s="4" t="s">
        <v>7</v>
      </c>
      <c r="DG28" s="4" t="s">
        <v>7</v>
      </c>
      <c r="DH28" s="4" t="s">
        <v>7</v>
      </c>
      <c r="DI28" s="4" t="s">
        <v>7</v>
      </c>
      <c r="DJ28" s="4" t="s">
        <v>7</v>
      </c>
      <c r="DK28" s="4" t="s">
        <v>7</v>
      </c>
      <c r="DL28" s="4" t="s">
        <v>7</v>
      </c>
      <c r="DM28" s="4" t="s">
        <v>7</v>
      </c>
      <c r="DN28" s="4" t="s">
        <v>7</v>
      </c>
      <c r="DO28" s="4" t="s">
        <v>7</v>
      </c>
      <c r="DP28" s="4" t="s">
        <v>7</v>
      </c>
      <c r="DQ28" s="4" t="s">
        <v>7</v>
      </c>
      <c r="DR28" s="4" t="s">
        <v>7</v>
      </c>
    </row>
    <row r="29" spans="1:122" x14ac:dyDescent="0.2">
      <c r="A29" s="2" t="s">
        <v>43</v>
      </c>
      <c r="B29" s="4">
        <f t="shared" si="11"/>
        <v>80</v>
      </c>
      <c r="C29" s="4">
        <f t="shared" si="12"/>
        <v>72</v>
      </c>
      <c r="D29" s="6">
        <f t="shared" si="13"/>
        <v>0</v>
      </c>
      <c r="E29" s="4">
        <f t="shared" si="14"/>
        <v>0</v>
      </c>
      <c r="F29" s="4">
        <f t="shared" si="15"/>
        <v>4</v>
      </c>
      <c r="G29" s="4">
        <f t="shared" si="16"/>
        <v>1</v>
      </c>
      <c r="H29" s="4">
        <f t="shared" si="17"/>
        <v>0</v>
      </c>
      <c r="I29" s="4">
        <f t="shared" si="18"/>
        <v>3</v>
      </c>
      <c r="J29" s="4">
        <f t="shared" si="19"/>
        <v>0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  <c r="CA29" s="4" t="s">
        <v>34</v>
      </c>
      <c r="CB29" s="4" t="s">
        <v>7</v>
      </c>
      <c r="CC29" s="4" t="s">
        <v>7</v>
      </c>
      <c r="CD29" s="4" t="s">
        <v>7</v>
      </c>
      <c r="CE29" s="4" t="s">
        <v>7</v>
      </c>
      <c r="CF29" s="4" t="s">
        <v>7</v>
      </c>
      <c r="CG29" s="4" t="s">
        <v>7</v>
      </c>
      <c r="CH29" s="4" t="s">
        <v>7</v>
      </c>
      <c r="CI29" s="4" t="s">
        <v>7</v>
      </c>
      <c r="CJ29" s="4" t="s">
        <v>7</v>
      </c>
      <c r="CK29" s="4" t="s">
        <v>7</v>
      </c>
      <c r="CL29" s="4" t="s">
        <v>7</v>
      </c>
      <c r="CM29" s="4" t="s">
        <v>7</v>
      </c>
      <c r="CN29" s="4" t="s">
        <v>7</v>
      </c>
      <c r="CO29" s="4" t="s">
        <v>7</v>
      </c>
      <c r="CP29" s="4" t="s">
        <v>7</v>
      </c>
      <c r="CQ29" s="4" t="s">
        <v>7</v>
      </c>
      <c r="CR29" s="4" t="s">
        <v>7</v>
      </c>
      <c r="CS29" s="4" t="s">
        <v>7</v>
      </c>
      <c r="CT29" s="4" t="s">
        <v>7</v>
      </c>
      <c r="CU29" s="4" t="s">
        <v>7</v>
      </c>
      <c r="CV29" s="4" t="s">
        <v>7</v>
      </c>
      <c r="CW29" s="4" t="s">
        <v>7</v>
      </c>
      <c r="CX29" s="4" t="s">
        <v>7</v>
      </c>
      <c r="CY29" s="4" t="s">
        <v>7</v>
      </c>
      <c r="CZ29" s="4" t="s">
        <v>7</v>
      </c>
      <c r="DA29" s="4" t="s">
        <v>7</v>
      </c>
      <c r="DB29" s="4" t="s">
        <v>7</v>
      </c>
      <c r="DC29" s="4" t="s">
        <v>7</v>
      </c>
      <c r="DD29" s="4" t="s">
        <v>7</v>
      </c>
      <c r="DE29" s="4" t="s">
        <v>7</v>
      </c>
      <c r="DF29" s="4" t="s">
        <v>7</v>
      </c>
      <c r="DG29" s="4" t="s">
        <v>7</v>
      </c>
      <c r="DH29" s="4" t="s">
        <v>7</v>
      </c>
      <c r="DI29" s="4" t="s">
        <v>7</v>
      </c>
      <c r="DJ29" s="4" t="s">
        <v>7</v>
      </c>
      <c r="DK29" s="4" t="s">
        <v>7</v>
      </c>
      <c r="DL29" s="4" t="s">
        <v>7</v>
      </c>
      <c r="DM29" s="4" t="s">
        <v>7</v>
      </c>
      <c r="DN29" s="4" t="s">
        <v>7</v>
      </c>
      <c r="DO29" s="4" t="s">
        <v>7</v>
      </c>
      <c r="DP29" s="4" t="s">
        <v>7</v>
      </c>
      <c r="DQ29" s="4" t="s">
        <v>7</v>
      </c>
      <c r="DR29" s="4" t="s">
        <v>7</v>
      </c>
    </row>
    <row r="30" spans="1:122" x14ac:dyDescent="0.2">
      <c r="A30" s="2" t="s">
        <v>46</v>
      </c>
      <c r="B30" s="4">
        <f t="shared" ref="B30" si="20">COUNTA(K30:VR30)</f>
        <v>25</v>
      </c>
      <c r="C30" s="4">
        <f t="shared" ref="C30" si="21">COUNTIF(K30:VR30,"P")</f>
        <v>25</v>
      </c>
      <c r="D30" s="6">
        <f t="shared" ref="D30" si="22">COUNTIF(K30:VR30,"REP")</f>
        <v>0</v>
      </c>
      <c r="E30" s="4">
        <f t="shared" ref="E30" si="23">COUNTIF(K30:VS30,"A")</f>
        <v>0</v>
      </c>
      <c r="F30" s="4">
        <f t="shared" ref="F30" si="24">COUNTIF(K30:VT30,"B")</f>
        <v>0</v>
      </c>
      <c r="G30" s="4">
        <f t="shared" ref="G30" si="25">COUNTIF(K30:VU30,"M")</f>
        <v>0</v>
      </c>
      <c r="H30" s="4">
        <f t="shared" ref="H30" si="26">COUNTIF(K30:VV30,"R")</f>
        <v>0</v>
      </c>
      <c r="I30" s="4">
        <f t="shared" ref="I30" si="27">COUNTIF(K30:VW30,"RH")</f>
        <v>0</v>
      </c>
      <c r="J30" s="4">
        <f t="shared" ref="J30" si="28">COUNTIF(K30:VW30,"S")</f>
        <v>0</v>
      </c>
      <c r="CT30" s="4" t="s">
        <v>7</v>
      </c>
      <c r="CU30" s="4" t="s">
        <v>7</v>
      </c>
      <c r="CV30" s="4" t="s">
        <v>7</v>
      </c>
      <c r="CW30" s="4" t="s">
        <v>7</v>
      </c>
      <c r="CX30" s="4" t="s">
        <v>7</v>
      </c>
      <c r="CY30" s="4" t="s">
        <v>7</v>
      </c>
      <c r="CZ30" s="4" t="s">
        <v>7</v>
      </c>
      <c r="DA30" s="4" t="s">
        <v>7</v>
      </c>
      <c r="DB30" s="4" t="s">
        <v>7</v>
      </c>
      <c r="DC30" s="4" t="s">
        <v>7</v>
      </c>
      <c r="DD30" s="4" t="s">
        <v>7</v>
      </c>
      <c r="DE30" s="4" t="s">
        <v>7</v>
      </c>
      <c r="DF30" s="4" t="s">
        <v>7</v>
      </c>
      <c r="DG30" s="4" t="s">
        <v>7</v>
      </c>
      <c r="DH30" s="4" t="s">
        <v>7</v>
      </c>
      <c r="DI30" s="4" t="s">
        <v>7</v>
      </c>
      <c r="DJ30" s="4" t="s">
        <v>7</v>
      </c>
      <c r="DK30" s="4" t="s">
        <v>7</v>
      </c>
      <c r="DL30" s="4" t="s">
        <v>7</v>
      </c>
      <c r="DM30" s="4" t="s">
        <v>7</v>
      </c>
      <c r="DN30" s="4" t="s">
        <v>7</v>
      </c>
      <c r="DO30" s="4" t="s">
        <v>7</v>
      </c>
      <c r="DP30" s="4" t="s">
        <v>7</v>
      </c>
      <c r="DQ30" s="4" t="s">
        <v>7</v>
      </c>
      <c r="DR30" s="4" t="s">
        <v>7</v>
      </c>
    </row>
    <row r="31" spans="1:122" x14ac:dyDescent="0.2">
      <c r="A31" s="2" t="s">
        <v>48</v>
      </c>
      <c r="B31" s="4">
        <f t="shared" ref="B31" si="29">COUNTA(K31:VR31)</f>
        <v>13</v>
      </c>
      <c r="C31" s="4">
        <f t="shared" ref="C31" si="30">COUNTIF(K31:VR31,"P")</f>
        <v>13</v>
      </c>
      <c r="D31" s="6">
        <f t="shared" ref="D31" si="31">COUNTIF(K31:VR31,"REP")</f>
        <v>0</v>
      </c>
      <c r="E31" s="4">
        <f t="shared" ref="E31" si="32">COUNTIF(K31:VS31,"A")</f>
        <v>0</v>
      </c>
      <c r="F31" s="4">
        <f t="shared" ref="F31" si="33">COUNTIF(K31:VT31,"B")</f>
        <v>0</v>
      </c>
      <c r="G31" s="4">
        <f t="shared" ref="G31" si="34">COUNTIF(K31:VU31,"M")</f>
        <v>0</v>
      </c>
      <c r="H31" s="4">
        <f t="shared" ref="H31" si="35">COUNTIF(K31:VV31,"R")</f>
        <v>0</v>
      </c>
      <c r="I31" s="4">
        <f t="shared" ref="I31" si="36">COUNTIF(K31:VW31,"RH")</f>
        <v>0</v>
      </c>
      <c r="J31" s="4">
        <f t="shared" ref="J31" si="37">COUNTIF(K31:VW31,"S")</f>
        <v>0</v>
      </c>
      <c r="DF31" s="4" t="s">
        <v>7</v>
      </c>
      <c r="DG31" s="4" t="s">
        <v>7</v>
      </c>
      <c r="DH31" s="4" t="s">
        <v>7</v>
      </c>
      <c r="DI31" s="4" t="s">
        <v>7</v>
      </c>
      <c r="DJ31" s="4" t="s">
        <v>7</v>
      </c>
      <c r="DK31" s="4" t="s">
        <v>7</v>
      </c>
      <c r="DL31" s="4" t="s">
        <v>7</v>
      </c>
      <c r="DM31" s="4" t="s">
        <v>7</v>
      </c>
      <c r="DN31" s="4" t="s">
        <v>7</v>
      </c>
      <c r="DO31" s="4" t="s">
        <v>7</v>
      </c>
      <c r="DP31" s="4" t="s">
        <v>7</v>
      </c>
      <c r="DQ31" s="4" t="s">
        <v>7</v>
      </c>
      <c r="DR31" s="4" t="s">
        <v>7</v>
      </c>
    </row>
    <row r="32" spans="1:122" x14ac:dyDescent="0.2">
      <c r="A32" s="2" t="s">
        <v>47</v>
      </c>
      <c r="B32" s="4">
        <f t="shared" ref="B32" si="38">COUNTA(K32:VR32)</f>
        <v>9</v>
      </c>
      <c r="C32" s="4">
        <f t="shared" ref="C32" si="39">COUNTIF(K32:VR32,"P")</f>
        <v>9</v>
      </c>
      <c r="D32" s="6">
        <f t="shared" ref="D32" si="40">COUNTIF(K32:VR32,"REP")</f>
        <v>0</v>
      </c>
      <c r="E32" s="4">
        <f t="shared" ref="E32" si="41">COUNTIF(K32:VS32,"A")</f>
        <v>0</v>
      </c>
      <c r="F32" s="4">
        <f t="shared" ref="F32" si="42">COUNTIF(K32:VT32,"B")</f>
        <v>0</v>
      </c>
      <c r="G32" s="4">
        <f t="shared" ref="G32" si="43">COUNTIF(K32:VU32,"M")</f>
        <v>0</v>
      </c>
      <c r="H32" s="4">
        <f t="shared" ref="H32" si="44">COUNTIF(K32:VV32,"R")</f>
        <v>0</v>
      </c>
      <c r="I32" s="4">
        <f t="shared" ref="I32" si="45">COUNTIF(K32:VW32,"RH")</f>
        <v>0</v>
      </c>
      <c r="J32" s="4">
        <f t="shared" ref="J32" si="46">COUNTIF(K32:VW32,"S")</f>
        <v>0</v>
      </c>
      <c r="DJ32" s="4" t="s">
        <v>7</v>
      </c>
      <c r="DK32" s="4" t="s">
        <v>7</v>
      </c>
      <c r="DL32" s="4" t="s">
        <v>7</v>
      </c>
      <c r="DM32" s="4" t="s">
        <v>7</v>
      </c>
      <c r="DN32" s="4" t="s">
        <v>7</v>
      </c>
      <c r="DO32" s="4" t="s">
        <v>7</v>
      </c>
      <c r="DP32" s="4" t="s">
        <v>7</v>
      </c>
      <c r="DQ32" s="4" t="s">
        <v>7</v>
      </c>
      <c r="DR32" s="4" t="s">
        <v>7</v>
      </c>
    </row>
  </sheetData>
  <conditionalFormatting sqref="A21:A30 A32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2026-02-17T16:23:38Z</dcterms:modified>
</cp:coreProperties>
</file>