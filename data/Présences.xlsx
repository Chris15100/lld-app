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C59149C8-8F15-7243-B3A9-0E120C2D1A97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<sst xmlns="http://schemas.openxmlformats.org/spreadsheetml/2006/main" count="2584" uniqueCount="47">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</sst>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C30"/>
  <sheetViews>
    <sheetView tabSelected="1" workbookViewId="0">
      <pane xSplit="1" topLeftCell="DB1" activePane="topRight" state="frozen"/>
      <selection pane="topRight" activeCell="DE27" sqref="DE27"/>
    </sheetView>
  </sheetViews>
  <sheetFormatPr baseColWidth="10" defaultRowHeight="16" x14ac:dyDescent="0.2"/>
  <cols>
    <col min="1" max="1" width="17.1640625" customWidth="1"/>
  </cols>
  <sheetData>
    <row r="1" spans="1:107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46041</v>
      </c>
      <c r="DC1" s="3">
        <v>46042</v>
      </c>
    </row>
    <row r="2" spans="1:107" x14ac:dyDescent="0.2">
      <c r="A2" s="2" t="s">
        <v>9</v>
      </c>
      <c r="B2" s="4">
        <f>COUNTA(K2:VQ2)</f>
        <v>97</v>
      </c>
      <c r="C2" s="4">
        <f>COUNTIF(K2:VQ2,"P")</f>
        <v>92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5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35</v>
      </c>
    </row>
    <row r="3" spans="1:107" x14ac:dyDescent="0.2">
      <c r="A3" s="2" t="s">
        <v>10</v>
      </c>
      <c r="B3" s="4">
        <f t="shared" ref="B3:B21" si="2">COUNTA(K3:VQ3)</f>
        <v>97</v>
      </c>
      <c r="C3" s="4">
        <f t="shared" ref="C3:C21" si="3">COUNTIF(K3:VQ3,"P")</f>
        <v>81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</row>
    <row r="4" spans="1:107" x14ac:dyDescent="0.2">
      <c r="A4" s="2" t="s">
        <v>11</v>
      </c>
      <c r="B4" s="4">
        <f t="shared" si="2"/>
        <v>97</v>
      </c>
      <c r="C4" s="4">
        <f t="shared" si="3"/>
        <v>95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</row>
    <row r="5" spans="1:107" x14ac:dyDescent="0.2">
      <c r="A5" s="2" t="s">
        <v>12</v>
      </c>
      <c r="B5" s="4">
        <f t="shared" si="2"/>
        <v>97</v>
      </c>
      <c r="C5" s="4">
        <f t="shared" si="3"/>
        <v>64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</row>
    <row r="6" spans="1:107" x14ac:dyDescent="0.2">
      <c r="A6" s="2" t="s">
        <v>13</v>
      </c>
      <c r="B6" s="4">
        <f t="shared" si="2"/>
        <v>97</v>
      </c>
      <c r="C6" s="4">
        <f t="shared" si="3"/>
        <v>52</v>
      </c>
      <c r="D6" s="6">
        <f t="shared" si="4"/>
        <v>1</v>
      </c>
      <c r="E6" s="4">
        <f t="shared" si="0"/>
        <v>6</v>
      </c>
      <c r="F6" s="4">
        <f>COUNTIF(K6:VS6,"B")</f>
        <v>26</v>
      </c>
      <c r="G6" s="4">
        <f t="shared" si="5"/>
        <v>3</v>
      </c>
      <c r="H6" s="4">
        <f t="shared" si="6"/>
        <v>3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32</v>
      </c>
      <c r="DC6" s="4" t="s">
        <v>7</v>
      </c>
    </row>
    <row r="7" spans="1:107" x14ac:dyDescent="0.2">
      <c r="A7" s="2" t="s">
        <v>14</v>
      </c>
      <c r="B7" s="4">
        <f t="shared" si="2"/>
        <v>97</v>
      </c>
      <c r="C7" s="4">
        <f t="shared" si="3"/>
        <v>84</v>
      </c>
      <c r="D7" s="6">
        <f t="shared" si="4"/>
        <v>1</v>
      </c>
      <c r="E7" s="4">
        <f>COUNTIF(K7:VR7,"A")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</row>
    <row r="8" spans="1:107" x14ac:dyDescent="0.2">
      <c r="A8" s="2" t="s">
        <v>15</v>
      </c>
      <c r="B8" s="4">
        <f t="shared" si="2"/>
        <v>97</v>
      </c>
      <c r="C8" s="4">
        <f t="shared" si="3"/>
        <v>71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7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7</v>
      </c>
      <c r="DC8" s="4" t="s">
        <v>7</v>
      </c>
    </row>
    <row r="9" spans="1:107" x14ac:dyDescent="0.2">
      <c r="A9" s="2" t="s">
        <v>16</v>
      </c>
      <c r="B9" s="4">
        <f t="shared" si="2"/>
        <v>97</v>
      </c>
      <c r="C9" s="4">
        <f t="shared" si="3"/>
        <v>91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</row>
    <row r="10" spans="1:107" x14ac:dyDescent="0.2">
      <c r="A10" s="2" t="s">
        <v>17</v>
      </c>
      <c r="B10" s="4">
        <f t="shared" si="2"/>
        <v>97</v>
      </c>
      <c r="C10" s="4">
        <f t="shared" si="3"/>
        <v>79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</row>
    <row r="11" spans="1:107" x14ac:dyDescent="0.2">
      <c r="A11" s="2" t="s">
        <v>18</v>
      </c>
      <c r="B11" s="4">
        <f t="shared" si="2"/>
        <v>97</v>
      </c>
      <c r="C11" s="4">
        <f t="shared" si="3"/>
        <v>91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</row>
    <row r="12" spans="1:107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7" x14ac:dyDescent="0.2">
      <c r="A13" s="2" t="s">
        <v>20</v>
      </c>
      <c r="B13" s="4">
        <f t="shared" si="2"/>
        <v>97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66</v>
      </c>
      <c r="G13" s="4">
        <f t="shared" si="5"/>
        <v>0</v>
      </c>
      <c r="H13" s="4">
        <f t="shared" si="6"/>
        <v>0</v>
      </c>
      <c r="I13" s="4">
        <f t="shared" si="7"/>
        <v>13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34</v>
      </c>
    </row>
    <row r="14" spans="1:107" x14ac:dyDescent="0.2">
      <c r="A14" s="2" t="s">
        <v>21</v>
      </c>
      <c r="B14" s="4">
        <f t="shared" si="2"/>
        <v>97</v>
      </c>
      <c r="C14" s="4">
        <f t="shared" si="3"/>
        <v>96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</row>
    <row r="15" spans="1:107" x14ac:dyDescent="0.2">
      <c r="A15" s="2" t="s">
        <v>22</v>
      </c>
      <c r="B15" s="4">
        <f t="shared" si="2"/>
        <v>97</v>
      </c>
      <c r="C15" s="4">
        <f t="shared" si="3"/>
        <v>92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</row>
    <row r="16" spans="1:107" x14ac:dyDescent="0.2">
      <c r="A16" s="2" t="s">
        <v>23</v>
      </c>
      <c r="B16" s="4">
        <f t="shared" si="2"/>
        <v>97</v>
      </c>
      <c r="C16" s="4">
        <f t="shared" si="3"/>
        <v>77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</row>
    <row r="17" spans="1:107" x14ac:dyDescent="0.2">
      <c r="A17" s="2" t="s">
        <v>24</v>
      </c>
      <c r="B17" s="4">
        <f t="shared" si="2"/>
        <v>97</v>
      </c>
      <c r="C17" s="4">
        <f t="shared" si="3"/>
        <v>72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 t="s">
        <v>7</v>
      </c>
      <c r="DC17" s="4" t="s">
        <v>7</v>
      </c>
    </row>
    <row r="18" spans="1:107" x14ac:dyDescent="0.2">
      <c r="A18" s="2" t="s">
        <v>25</v>
      </c>
      <c r="B18" s="4">
        <f t="shared" si="2"/>
        <v>97</v>
      </c>
      <c r="C18" s="4">
        <f t="shared" si="3"/>
        <v>87</v>
      </c>
      <c r="D18" s="6">
        <f t="shared" si="4"/>
        <v>0</v>
      </c>
      <c r="E18" s="4">
        <f t="shared" si="0"/>
        <v>0</v>
      </c>
      <c r="F18" s="4">
        <f t="shared" si="1"/>
        <v>7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35</v>
      </c>
      <c r="DC18" s="4" t="s">
        <v>35</v>
      </c>
    </row>
    <row r="19" spans="1:107" x14ac:dyDescent="0.2">
      <c r="A19" s="2" t="s">
        <v>26</v>
      </c>
      <c r="B19" s="4">
        <f t="shared" si="2"/>
        <v>97</v>
      </c>
      <c r="C19" s="4">
        <f t="shared" si="3"/>
        <v>85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</row>
    <row r="20" spans="1:107" x14ac:dyDescent="0.2">
      <c r="A20" s="2" t="s">
        <v>27</v>
      </c>
      <c r="B20" s="4">
        <f t="shared" si="2"/>
        <v>97</v>
      </c>
      <c r="C20" s="4">
        <f t="shared" si="3"/>
        <v>95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</row>
    <row r="21" spans="1:107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7" x14ac:dyDescent="0.2">
      <c r="A22" s="4" t="s">
        <v>29</v>
      </c>
      <c r="B22" s="4">
        <f t="shared" ref="B22:B26" si="9">COUNTA(K22:VQ22)</f>
        <v>97</v>
      </c>
      <c r="C22" s="4">
        <f t="shared" ref="C22:C26" si="10">COUNTIF(K22:VQ22,"P")</f>
        <v>93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</row>
    <row r="23" spans="1:107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7" x14ac:dyDescent="0.2">
      <c r="A24" s="2" t="s">
        <v>31</v>
      </c>
      <c r="B24" s="4">
        <f t="shared" si="9"/>
        <v>97</v>
      </c>
      <c r="C24" s="4">
        <f t="shared" si="10"/>
        <v>90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</row>
    <row r="25" spans="1:107" x14ac:dyDescent="0.2">
      <c r="A25" s="2" t="s">
        <v>39</v>
      </c>
      <c r="B25" s="4">
        <f t="shared" si="9"/>
        <v>95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4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/>
      <c r="DC25" s="4"/>
    </row>
    <row r="26" spans="1:107" x14ac:dyDescent="0.2">
      <c r="A26" s="2" t="s">
        <v>36</v>
      </c>
      <c r="B26" s="4">
        <f t="shared" si="9"/>
        <v>97</v>
      </c>
      <c r="C26" s="4">
        <f t="shared" si="10"/>
        <v>89</v>
      </c>
      <c r="D26" s="6">
        <f t="shared" si="4"/>
        <v>0</v>
      </c>
      <c r="E26" s="4">
        <f t="shared" si="0"/>
        <v>0</v>
      </c>
      <c r="F26" s="4">
        <f t="shared" si="1"/>
        <v>2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34</v>
      </c>
      <c r="DC26" s="4" t="s">
        <v>7</v>
      </c>
    </row>
    <row r="27" spans="1:107" x14ac:dyDescent="0.2">
      <c r="A27" s="2" t="s">
        <v>37</v>
      </c>
      <c r="B27" s="4">
        <f t="shared" ref="B27:B29" si="11">COUNTA(K27:VQ27)</f>
        <v>87</v>
      </c>
      <c r="C27" s="4">
        <f t="shared" ref="C27:C29" si="12">COUNTIF(K27:VQ27,"P")</f>
        <v>57</v>
      </c>
      <c r="D27" s="6">
        <f t="shared" ref="D27:D29" si="13">COUNTIF(K27:VQ27,"REP")</f>
        <v>7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42</v>
      </c>
      <c r="DC27" s="4" t="s">
        <v>7</v>
      </c>
    </row>
    <row r="28" spans="1:107" x14ac:dyDescent="0.2">
      <c r="A28" s="2" t="s">
        <v>44</v>
      </c>
      <c r="B28" s="4">
        <f t="shared" si="11"/>
        <v>65</v>
      </c>
      <c r="C28" s="4">
        <f t="shared" si="12"/>
        <v>63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38</v>
      </c>
      <c r="DC28" s="4" t="s">
        <v>7</v>
      </c>
    </row>
    <row r="29" spans="1:107" x14ac:dyDescent="0.2">
      <c r="A29" s="2" t="s">
        <v>43</v>
      </c>
      <c r="B29" s="4">
        <f t="shared" si="11"/>
        <v>65</v>
      </c>
      <c r="C29" s="4">
        <f t="shared" si="12"/>
        <v>57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</row>
    <row r="30" spans="1:107" x14ac:dyDescent="0.2">
      <c r="A30" s="2" t="s">
        <v>46</v>
      </c>
      <c r="B30" s="4">
        <f t="shared" ref="B30" si="20">COUNTA(K30:VQ30)</f>
        <v>10</v>
      </c>
      <c r="C30" s="4">
        <f t="shared" ref="C30" si="21">COUNTIF(K30:VQ30,"P")</f>
        <v>10</v>
      </c>
      <c r="D30" s="6">
        <f t="shared" ref="D30" si="22">COUNTIF(K30:VQ30,"REP")</f>
        <v>0</v>
      </c>
      <c r="E30" s="4">
        <f t="shared" ref="E30" si="23">COUNTIF(K30:VR30,"A")</f>
        <v>0</v>
      </c>
      <c r="F30" s="4">
        <f t="shared" ref="F30" si="24">COUNTIF(K30:VS30,"B")</f>
        <v>0</v>
      </c>
      <c r="G30" s="4">
        <f t="shared" ref="G30" si="25">COUNTIF(K30:VT30,"M")</f>
        <v>0</v>
      </c>
      <c r="H30" s="4">
        <f t="shared" ref="H30" si="26">COUNTIF(K30:VU30,"R")</f>
        <v>0</v>
      </c>
      <c r="I30" s="4">
        <f t="shared" ref="I30" si="27">COUNTIF(K30:VV30,"RH")</f>
        <v>0</v>
      </c>
      <c r="J30" s="4">
        <f t="shared" ref="J30" si="28">COUNTIF(K30:VV30,"S")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2026-01-20T12:47:02Z</dcterms:modified>
</cp:coreProperties>
</file>