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4982E3E2-38CA-1A45-AB81-A3E84D6E57A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<sst xmlns="http://schemas.openxmlformats.org/spreadsheetml/2006/main" count="3670" uniqueCount="49">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</sst>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U32"/>
  <sheetViews>
    <sheetView tabSelected="1" workbookViewId="0">
      <pane xSplit="1" topLeftCell="ET1" activePane="topRight" state="frozen"/>
      <selection pane="topRight" activeCell="EV16" sqref="EV16"/>
    </sheetView>
  </sheetViews>
  <sheetFormatPr baseColWidth="10" defaultRowHeight="16" x14ac:dyDescent="0.2"/>
  <cols>
    <col min="1" max="1" width="17.1640625" customWidth="1"/>
  </cols>
  <sheetData>
    <row r="1" spans="1:151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  <c r="EM1" s="3">
        <v>46112</v>
      </c>
      <c r="EN1" s="3">
        <v>46113</v>
      </c>
      <c r="EO1" s="3">
        <v>46115</v>
      </c>
      <c r="EP1" s="3">
        <v>46119</v>
      </c>
      <c r="EQ1" s="3">
        <v>46120</v>
      </c>
      <c r="ER1" s="3">
        <v>46122</v>
      </c>
      <c r="ES1" s="3">
        <v>46126</v>
      </c>
      <c r="ET1" s="3">
        <v>46127</v>
      </c>
      <c r="EU1" s="3">
        <v>46129</v>
      </c>
    </row>
    <row r="2" spans="1:151" x14ac:dyDescent="0.2">
      <c r="A2" s="2" t="s">
        <v>9</v>
      </c>
      <c r="B2" s="4">
        <f>COUNTA(K2:VR2)</f>
        <v>141</v>
      </c>
      <c r="C2" s="4">
        <f>COUNTIF(K2:VR2,"P")</f>
        <v>137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  <c r="EM2" s="4" t="s">
        <v>7</v>
      </c>
      <c r="EN2" s="4" t="s">
        <v>7</v>
      </c>
      <c r="EO2" s="4" t="s">
        <v>7</v>
      </c>
      <c r="EP2" s="4" t="s">
        <v>7</v>
      </c>
      <c r="EQ2" s="4" t="s">
        <v>7</v>
      </c>
      <c r="ER2" s="4" t="s">
        <v>7</v>
      </c>
      <c r="ES2" s="4" t="s">
        <v>7</v>
      </c>
      <c r="ET2" s="4" t="s">
        <v>7</v>
      </c>
      <c r="EU2" s="4" t="s">
        <v>7</v>
      </c>
    </row>
    <row r="3" spans="1:151" x14ac:dyDescent="0.2">
      <c r="A3" s="2" t="s">
        <v>10</v>
      </c>
      <c r="B3" s="4">
        <f t="shared" ref="B3:B21" si="2">COUNTA(K3:VR3)</f>
        <v>141</v>
      </c>
      <c r="C3" s="4">
        <f t="shared" ref="C3:C21" si="3">COUNTIF(K3:VR3,"P")</f>
        <v>111</v>
      </c>
      <c r="D3" s="6">
        <f t="shared" ref="D3:D26" si="4">COUNTIF(K3:VR3,"REP")</f>
        <v>0</v>
      </c>
      <c r="E3" s="4">
        <f t="shared" si="0"/>
        <v>2</v>
      </c>
      <c r="F3" s="4">
        <f t="shared" si="1"/>
        <v>2</v>
      </c>
      <c r="G3" s="4">
        <f t="shared" ref="G3:G26" si="5">COUNTIF(K3:VU3,"M")</f>
        <v>6</v>
      </c>
      <c r="H3" s="4">
        <f t="shared" ref="H3:H26" si="6">COUNTIF(K3:VV3,"R")</f>
        <v>20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  <c r="EM3" s="4" t="s">
        <v>7</v>
      </c>
      <c r="EN3" s="4" t="s">
        <v>7</v>
      </c>
      <c r="EO3" s="4" t="s">
        <v>40</v>
      </c>
      <c r="EP3" s="4" t="s">
        <v>7</v>
      </c>
      <c r="EQ3" s="4" t="s">
        <v>32</v>
      </c>
      <c r="ER3" s="4" t="s">
        <v>40</v>
      </c>
      <c r="ES3" s="4" t="s">
        <v>7</v>
      </c>
      <c r="ET3" s="4" t="s">
        <v>7</v>
      </c>
      <c r="EU3" s="4" t="s">
        <v>7</v>
      </c>
    </row>
    <row r="4" spans="1:151" x14ac:dyDescent="0.2">
      <c r="A4" s="2" t="s">
        <v>11</v>
      </c>
      <c r="B4" s="4">
        <f t="shared" si="2"/>
        <v>141</v>
      </c>
      <c r="C4" s="4">
        <f t="shared" si="3"/>
        <v>138</v>
      </c>
      <c r="D4" s="6">
        <f t="shared" si="4"/>
        <v>1</v>
      </c>
      <c r="E4" s="4">
        <f t="shared" si="0"/>
        <v>1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  <c r="EM4" s="4" t="s">
        <v>32</v>
      </c>
      <c r="EN4" s="4" t="s">
        <v>7</v>
      </c>
      <c r="EO4" s="4" t="s">
        <v>7</v>
      </c>
      <c r="EP4" s="4" t="s">
        <v>7</v>
      </c>
      <c r="EQ4" s="4" t="s">
        <v>7</v>
      </c>
      <c r="ER4" s="4" t="s">
        <v>7</v>
      </c>
      <c r="ES4" s="4" t="s">
        <v>7</v>
      </c>
      <c r="ET4" s="4" t="s">
        <v>7</v>
      </c>
      <c r="EU4" s="4" t="s">
        <v>7</v>
      </c>
    </row>
    <row r="5" spans="1:151" x14ac:dyDescent="0.2">
      <c r="A5" s="2" t="s">
        <v>12</v>
      </c>
      <c r="B5" s="4">
        <f t="shared" si="2"/>
        <v>141</v>
      </c>
      <c r="C5" s="4">
        <f t="shared" si="3"/>
        <v>108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  <c r="EM5" s="4" t="s">
        <v>7</v>
      </c>
      <c r="EN5" s="4" t="s">
        <v>7</v>
      </c>
      <c r="EO5" s="4" t="s">
        <v>7</v>
      </c>
      <c r="EP5" s="4" t="s">
        <v>7</v>
      </c>
      <c r="EQ5" s="4" t="s">
        <v>7</v>
      </c>
      <c r="ER5" s="4" t="s">
        <v>7</v>
      </c>
      <c r="ES5" s="4" t="s">
        <v>7</v>
      </c>
      <c r="ET5" s="4" t="s">
        <v>7</v>
      </c>
      <c r="EU5" s="4" t="s">
        <v>7</v>
      </c>
    </row>
    <row r="6" spans="1:151" x14ac:dyDescent="0.2">
      <c r="A6" s="2" t="s">
        <v>13</v>
      </c>
      <c r="B6" s="4">
        <f t="shared" si="2"/>
        <v>141</v>
      </c>
      <c r="C6" s="4">
        <f t="shared" si="3"/>
        <v>59</v>
      </c>
      <c r="D6" s="6">
        <f t="shared" si="4"/>
        <v>1</v>
      </c>
      <c r="E6" s="4">
        <f t="shared" si="0"/>
        <v>12</v>
      </c>
      <c r="F6" s="4">
        <f>COUNTIF(K6:VT6,"B")</f>
        <v>46</v>
      </c>
      <c r="G6" s="4">
        <f t="shared" si="5"/>
        <v>4</v>
      </c>
      <c r="H6" s="4">
        <f t="shared" si="6"/>
        <v>7</v>
      </c>
      <c r="I6" s="4">
        <f t="shared" si="7"/>
        <v>12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  <c r="EM6" s="4" t="s">
        <v>35</v>
      </c>
      <c r="EN6" s="4" t="s">
        <v>35</v>
      </c>
      <c r="EO6" s="4" t="s">
        <v>35</v>
      </c>
      <c r="EP6" s="4" t="s">
        <v>32</v>
      </c>
      <c r="EQ6" s="4" t="s">
        <v>32</v>
      </c>
      <c r="ER6" s="4" t="s">
        <v>32</v>
      </c>
      <c r="ES6" s="4" t="s">
        <v>34</v>
      </c>
      <c r="ET6" s="4" t="s">
        <v>34</v>
      </c>
      <c r="EU6" s="4" t="s">
        <v>34</v>
      </c>
    </row>
    <row r="7" spans="1:151" x14ac:dyDescent="0.2">
      <c r="A7" s="2" t="s">
        <v>14</v>
      </c>
      <c r="B7" s="4">
        <f t="shared" si="2"/>
        <v>141</v>
      </c>
      <c r="C7" s="4">
        <f t="shared" si="3"/>
        <v>126</v>
      </c>
      <c r="D7" s="6">
        <f t="shared" si="4"/>
        <v>1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  <c r="EM7" s="4" t="s">
        <v>7</v>
      </c>
      <c r="EN7" s="4" t="s">
        <v>7</v>
      </c>
      <c r="EO7" s="4" t="s">
        <v>7</v>
      </c>
      <c r="EP7" s="4" t="s">
        <v>7</v>
      </c>
      <c r="EQ7" s="4" t="s">
        <v>7</v>
      </c>
      <c r="ER7" s="4" t="s">
        <v>7</v>
      </c>
      <c r="ES7" s="4" t="s">
        <v>7</v>
      </c>
      <c r="ET7" s="4" t="s">
        <v>7</v>
      </c>
      <c r="EU7" s="4" t="s">
        <v>7</v>
      </c>
    </row>
    <row r="8" spans="1:151" x14ac:dyDescent="0.2">
      <c r="A8" s="2" t="s">
        <v>15</v>
      </c>
      <c r="B8" s="4">
        <f t="shared" si="2"/>
        <v>141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39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  <c r="EM8" s="4" t="s">
        <v>35</v>
      </c>
      <c r="EN8" s="4" t="s">
        <v>35</v>
      </c>
      <c r="EO8" s="4" t="s">
        <v>35</v>
      </c>
      <c r="EP8" s="4" t="s">
        <v>35</v>
      </c>
      <c r="EQ8" s="4" t="s">
        <v>35</v>
      </c>
      <c r="ER8" s="4" t="s">
        <v>35</v>
      </c>
      <c r="ES8" s="4" t="s">
        <v>35</v>
      </c>
      <c r="ET8" s="4" t="s">
        <v>35</v>
      </c>
      <c r="EU8" s="4" t="s">
        <v>35</v>
      </c>
    </row>
    <row r="9" spans="1:151" x14ac:dyDescent="0.2">
      <c r="A9" s="2" t="s">
        <v>16</v>
      </c>
      <c r="B9" s="4">
        <f t="shared" si="2"/>
        <v>141</v>
      </c>
      <c r="C9" s="4">
        <f t="shared" si="3"/>
        <v>135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  <c r="EM9" s="4" t="s">
        <v>7</v>
      </c>
      <c r="EN9" s="4" t="s">
        <v>7</v>
      </c>
      <c r="EO9" s="4" t="s">
        <v>7</v>
      </c>
      <c r="EP9" s="4" t="s">
        <v>7</v>
      </c>
      <c r="EQ9" s="4" t="s">
        <v>7</v>
      </c>
      <c r="ER9" s="4" t="s">
        <v>7</v>
      </c>
      <c r="ES9" s="4" t="s">
        <v>7</v>
      </c>
      <c r="ET9" s="4" t="s">
        <v>7</v>
      </c>
      <c r="EU9" s="4" t="s">
        <v>7</v>
      </c>
    </row>
    <row r="10" spans="1:151" x14ac:dyDescent="0.2">
      <c r="A10" s="2" t="s">
        <v>17</v>
      </c>
      <c r="B10" s="4">
        <f t="shared" si="2"/>
        <v>141</v>
      </c>
      <c r="C10" s="4">
        <f t="shared" si="3"/>
        <v>122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  <c r="EM10" s="4" t="s">
        <v>7</v>
      </c>
      <c r="EN10" s="4" t="s">
        <v>7</v>
      </c>
      <c r="EO10" s="4" t="s">
        <v>7</v>
      </c>
      <c r="EP10" s="4" t="s">
        <v>7</v>
      </c>
      <c r="EQ10" s="4" t="s">
        <v>7</v>
      </c>
      <c r="ER10" s="4" t="s">
        <v>7</v>
      </c>
      <c r="ES10" s="4" t="s">
        <v>7</v>
      </c>
      <c r="ET10" s="4" t="s">
        <v>7</v>
      </c>
      <c r="EU10" s="4" t="s">
        <v>7</v>
      </c>
    </row>
    <row r="11" spans="1:151" x14ac:dyDescent="0.2">
      <c r="A11" s="2" t="s">
        <v>18</v>
      </c>
      <c r="B11" s="4">
        <f t="shared" si="2"/>
        <v>141</v>
      </c>
      <c r="C11" s="4">
        <f t="shared" si="3"/>
        <v>130</v>
      </c>
      <c r="D11" s="6">
        <f t="shared" si="4"/>
        <v>1</v>
      </c>
      <c r="E11" s="4">
        <f t="shared" si="0"/>
        <v>0</v>
      </c>
      <c r="F11" s="4">
        <f t="shared" si="1"/>
        <v>9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  <c r="EM11" s="4" t="s">
        <v>35</v>
      </c>
      <c r="EN11" s="4" t="s">
        <v>35</v>
      </c>
      <c r="EO11" s="4" t="s">
        <v>35</v>
      </c>
      <c r="EP11" s="4" t="s">
        <v>35</v>
      </c>
      <c r="EQ11" s="4" t="s">
        <v>7</v>
      </c>
      <c r="ER11" s="4" t="s">
        <v>7</v>
      </c>
      <c r="ES11" s="4" t="s">
        <v>7</v>
      </c>
      <c r="ET11" s="4" t="s">
        <v>7</v>
      </c>
      <c r="EU11" s="4" t="s">
        <v>7</v>
      </c>
    </row>
    <row r="12" spans="1:151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51" x14ac:dyDescent="0.2">
      <c r="A13" s="2" t="s">
        <v>20</v>
      </c>
      <c r="B13" s="4">
        <f t="shared" si="2"/>
        <v>141</v>
      </c>
      <c r="C13" s="4">
        <f t="shared" si="3"/>
        <v>23</v>
      </c>
      <c r="D13" s="6">
        <f t="shared" si="4"/>
        <v>3</v>
      </c>
      <c r="E13" s="4">
        <f t="shared" si="0"/>
        <v>1</v>
      </c>
      <c r="F13" s="4">
        <f t="shared" si="1"/>
        <v>93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  <c r="EM13" s="4" t="s">
        <v>35</v>
      </c>
      <c r="EN13" s="4" t="s">
        <v>35</v>
      </c>
      <c r="EO13" s="4" t="s">
        <v>35</v>
      </c>
      <c r="EP13" s="4" t="s">
        <v>7</v>
      </c>
      <c r="EQ13" s="4" t="s">
        <v>7</v>
      </c>
      <c r="ER13" s="4" t="s">
        <v>42</v>
      </c>
      <c r="ES13" s="4" t="s">
        <v>7</v>
      </c>
      <c r="ET13" s="4" t="s">
        <v>35</v>
      </c>
      <c r="EU13" s="4" t="s">
        <v>35</v>
      </c>
    </row>
    <row r="14" spans="1:151" x14ac:dyDescent="0.2">
      <c r="A14" s="2" t="s">
        <v>21</v>
      </c>
      <c r="B14" s="4">
        <f t="shared" si="2"/>
        <v>141</v>
      </c>
      <c r="C14" s="4">
        <f t="shared" si="3"/>
        <v>140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  <c r="EM14" s="4" t="s">
        <v>7</v>
      </c>
      <c r="EN14" s="4" t="s">
        <v>7</v>
      </c>
      <c r="EO14" s="4" t="s">
        <v>7</v>
      </c>
      <c r="EP14" s="4" t="s">
        <v>7</v>
      </c>
      <c r="EQ14" s="4" t="s">
        <v>7</v>
      </c>
      <c r="ER14" s="4" t="s">
        <v>7</v>
      </c>
      <c r="ES14" s="4" t="s">
        <v>7</v>
      </c>
      <c r="ET14" s="4" t="s">
        <v>7</v>
      </c>
      <c r="EU14" s="4" t="s">
        <v>7</v>
      </c>
    </row>
    <row r="15" spans="1:151" x14ac:dyDescent="0.2">
      <c r="A15" s="2" t="s">
        <v>22</v>
      </c>
      <c r="B15" s="4">
        <f t="shared" si="2"/>
        <v>141</v>
      </c>
      <c r="C15" s="4">
        <f t="shared" si="3"/>
        <v>133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  <c r="EM15" s="4" t="s">
        <v>7</v>
      </c>
      <c r="EN15" s="4" t="s">
        <v>7</v>
      </c>
      <c r="EO15" s="4" t="s">
        <v>7</v>
      </c>
      <c r="EP15" s="4" t="s">
        <v>7</v>
      </c>
      <c r="EQ15" s="4" t="s">
        <v>7</v>
      </c>
      <c r="ER15" s="4" t="s">
        <v>7</v>
      </c>
      <c r="ES15" s="4" t="s">
        <v>7</v>
      </c>
      <c r="ET15" s="4" t="s">
        <v>7</v>
      </c>
      <c r="EU15" s="4" t="s">
        <v>7</v>
      </c>
    </row>
    <row r="16" spans="1:151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</row>
    <row r="17" spans="1:151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</row>
    <row r="18" spans="1:151" x14ac:dyDescent="0.2">
      <c r="A18" s="2" t="s">
        <v>25</v>
      </c>
      <c r="B18" s="4">
        <f t="shared" si="2"/>
        <v>141</v>
      </c>
      <c r="C18" s="4">
        <f t="shared" si="3"/>
        <v>117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  <c r="EM18" s="4" t="s">
        <v>7</v>
      </c>
      <c r="EN18" s="4" t="s">
        <v>7</v>
      </c>
      <c r="EO18" s="4" t="s">
        <v>7</v>
      </c>
      <c r="EP18" s="4" t="s">
        <v>7</v>
      </c>
      <c r="EQ18" s="4" t="s">
        <v>7</v>
      </c>
      <c r="ER18" s="4" t="s">
        <v>7</v>
      </c>
      <c r="ES18" s="4" t="s">
        <v>7</v>
      </c>
      <c r="ET18" s="4" t="s">
        <v>7</v>
      </c>
      <c r="EU18" s="4" t="s">
        <v>7</v>
      </c>
    </row>
    <row r="19" spans="1:151" x14ac:dyDescent="0.2">
      <c r="A19" s="2" t="s">
        <v>26</v>
      </c>
      <c r="B19" s="4">
        <f t="shared" si="2"/>
        <v>141</v>
      </c>
      <c r="C19" s="4">
        <f t="shared" si="3"/>
        <v>125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  <c r="EM19" s="4" t="s">
        <v>7</v>
      </c>
      <c r="EN19" s="4" t="s">
        <v>7</v>
      </c>
      <c r="EO19" s="4" t="s">
        <v>7</v>
      </c>
      <c r="EP19" s="4" t="s">
        <v>7</v>
      </c>
      <c r="EQ19" s="4" t="s">
        <v>7</v>
      </c>
      <c r="ER19" s="4" t="s">
        <v>7</v>
      </c>
      <c r="ES19" s="4" t="s">
        <v>7</v>
      </c>
      <c r="ET19" s="4" t="s">
        <v>7</v>
      </c>
      <c r="EU19" s="4" t="s">
        <v>7</v>
      </c>
    </row>
    <row r="20" spans="1:151" x14ac:dyDescent="0.2">
      <c r="A20" s="2" t="s">
        <v>27</v>
      </c>
      <c r="B20" s="4">
        <f t="shared" si="2"/>
        <v>141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12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  <c r="EM20" s="4" t="s">
        <v>35</v>
      </c>
      <c r="EN20" s="4" t="s">
        <v>35</v>
      </c>
      <c r="EO20" s="4" t="s">
        <v>35</v>
      </c>
      <c r="EP20" s="4" t="s">
        <v>35</v>
      </c>
      <c r="EQ20" s="4" t="s">
        <v>35</v>
      </c>
      <c r="ER20" s="4" t="s">
        <v>35</v>
      </c>
      <c r="ES20" s="4" t="s">
        <v>35</v>
      </c>
      <c r="ET20" s="4" t="s">
        <v>35</v>
      </c>
      <c r="EU20" s="4" t="s">
        <v>35</v>
      </c>
    </row>
    <row r="21" spans="1:151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51" x14ac:dyDescent="0.2">
      <c r="A22" s="4" t="s">
        <v>29</v>
      </c>
      <c r="B22" s="4">
        <f t="shared" ref="B22:B26" si="9">COUNTA(K22:VR22)</f>
        <v>141</v>
      </c>
      <c r="C22" s="4">
        <f t="shared" ref="C22:C26" si="10">COUNTIF(K22:VR22,"P")</f>
        <v>132</v>
      </c>
      <c r="D22" s="6">
        <f t="shared" si="4"/>
        <v>7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  <c r="EM22" s="4" t="s">
        <v>7</v>
      </c>
      <c r="EN22" s="4" t="s">
        <v>7</v>
      </c>
      <c r="EO22" s="4" t="s">
        <v>7</v>
      </c>
      <c r="EP22" s="4" t="s">
        <v>42</v>
      </c>
      <c r="EQ22" s="4" t="s">
        <v>42</v>
      </c>
      <c r="ER22" s="4" t="s">
        <v>42</v>
      </c>
      <c r="ES22" s="4" t="s">
        <v>7</v>
      </c>
      <c r="ET22" s="4" t="s">
        <v>7</v>
      </c>
      <c r="EU22" s="4" t="s">
        <v>7</v>
      </c>
    </row>
    <row r="23" spans="1:151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51" x14ac:dyDescent="0.2">
      <c r="A24" s="2" t="s">
        <v>31</v>
      </c>
      <c r="B24" s="4">
        <f t="shared" si="9"/>
        <v>141</v>
      </c>
      <c r="C24" s="4">
        <f t="shared" si="10"/>
        <v>133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  <c r="EM24" s="4" t="s">
        <v>7</v>
      </c>
      <c r="EN24" s="4" t="s">
        <v>7</v>
      </c>
      <c r="EO24" s="4" t="s">
        <v>7</v>
      </c>
      <c r="EP24" s="4" t="s">
        <v>7</v>
      </c>
      <c r="EQ24" s="4" t="s">
        <v>7</v>
      </c>
      <c r="ER24" s="4" t="s">
        <v>7</v>
      </c>
      <c r="ES24" s="4" t="s">
        <v>7</v>
      </c>
      <c r="ET24" s="4" t="s">
        <v>7</v>
      </c>
      <c r="EU24" s="4" t="s">
        <v>7</v>
      </c>
    </row>
    <row r="25" spans="1:151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</row>
    <row r="26" spans="1:151" x14ac:dyDescent="0.2">
      <c r="A26" s="2" t="s">
        <v>36</v>
      </c>
      <c r="B26" s="4">
        <f t="shared" si="9"/>
        <v>141</v>
      </c>
      <c r="C26" s="4">
        <f t="shared" si="10"/>
        <v>127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  <c r="EM26" s="4" t="s">
        <v>7</v>
      </c>
      <c r="EN26" s="4" t="s">
        <v>7</v>
      </c>
      <c r="EO26" s="4" t="s">
        <v>7</v>
      </c>
      <c r="EP26" s="4" t="s">
        <v>7</v>
      </c>
      <c r="EQ26" s="4" t="s">
        <v>7</v>
      </c>
      <c r="ER26" s="4" t="s">
        <v>7</v>
      </c>
      <c r="ES26" s="4" t="s">
        <v>7</v>
      </c>
      <c r="ET26" s="4" t="s">
        <v>7</v>
      </c>
      <c r="EU26" s="4" t="s">
        <v>7</v>
      </c>
    </row>
    <row r="27" spans="1:151" x14ac:dyDescent="0.2">
      <c r="A27" s="2" t="s">
        <v>37</v>
      </c>
      <c r="B27" s="4">
        <f t="shared" ref="B27:B29" si="11">COUNTA(K27:VR27)</f>
        <v>131</v>
      </c>
      <c r="C27" s="4">
        <f t="shared" ref="C27:C29" si="12">COUNTIF(K27:VR27,"P")</f>
        <v>94</v>
      </c>
      <c r="D27" s="6">
        <f t="shared" ref="D27:D29" si="13">COUNTIF(K27:VR27,"REP")</f>
        <v>11</v>
      </c>
      <c r="E27" s="4">
        <f t="shared" ref="E27:E29" si="14">COUNTIF(K27:VS27,"A")</f>
        <v>0</v>
      </c>
      <c r="F27" s="4">
        <f t="shared" ref="F27:F29" si="15">COUNTIF(K27:VT27,"B")</f>
        <v>3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  <c r="EM27" s="4" t="s">
        <v>7</v>
      </c>
      <c r="EN27" s="4" t="s">
        <v>7</v>
      </c>
      <c r="EO27" s="4" t="s">
        <v>7</v>
      </c>
      <c r="EP27" s="4" t="s">
        <v>7</v>
      </c>
      <c r="EQ27" s="4" t="s">
        <v>7</v>
      </c>
      <c r="ER27" s="4" t="s">
        <v>42</v>
      </c>
      <c r="ES27" s="4" t="s">
        <v>42</v>
      </c>
      <c r="ET27" s="4" t="s">
        <v>42</v>
      </c>
      <c r="EU27" s="4" t="s">
        <v>42</v>
      </c>
    </row>
    <row r="28" spans="1:151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</row>
    <row r="29" spans="1:151" x14ac:dyDescent="0.2">
      <c r="A29" s="2" t="s">
        <v>43</v>
      </c>
      <c r="B29" s="4">
        <f t="shared" si="11"/>
        <v>109</v>
      </c>
      <c r="C29" s="4">
        <f t="shared" si="12"/>
        <v>101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  <c r="EM29" s="4" t="s">
        <v>7</v>
      </c>
      <c r="EN29" s="4" t="s">
        <v>7</v>
      </c>
      <c r="EO29" s="4" t="s">
        <v>7</v>
      </c>
      <c r="EP29" s="4" t="s">
        <v>7</v>
      </c>
      <c r="EQ29" s="4" t="s">
        <v>7</v>
      </c>
      <c r="ER29" s="4" t="s">
        <v>7</v>
      </c>
      <c r="ES29" s="4" t="s">
        <v>7</v>
      </c>
      <c r="ET29" s="4" t="s">
        <v>7</v>
      </c>
      <c r="EU29" s="4" t="s">
        <v>7</v>
      </c>
    </row>
    <row r="30" spans="1:151" x14ac:dyDescent="0.2">
      <c r="A30" s="2" t="s">
        <v>46</v>
      </c>
      <c r="B30" s="4">
        <f t="shared" ref="B30" si="20">COUNTA(K30:VR30)</f>
        <v>54</v>
      </c>
      <c r="C30" s="4">
        <f t="shared" ref="C30" si="21">COUNTIF(K30:VR30,"P")</f>
        <v>44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5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3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  <c r="EM30" s="4" t="s">
        <v>7</v>
      </c>
      <c r="EN30" s="4" t="s">
        <v>35</v>
      </c>
      <c r="EO30" s="4" t="s">
        <v>35</v>
      </c>
      <c r="EP30" s="4" t="s">
        <v>35</v>
      </c>
      <c r="EQ30" s="4" t="s">
        <v>35</v>
      </c>
      <c r="ER30" s="4" t="s">
        <v>35</v>
      </c>
      <c r="ES30" s="4" t="s">
        <v>34</v>
      </c>
      <c r="ET30" s="4" t="s">
        <v>34</v>
      </c>
      <c r="EU30" s="4" t="s">
        <v>34</v>
      </c>
    </row>
    <row r="31" spans="1:151" x14ac:dyDescent="0.2">
      <c r="A31" s="2" t="s">
        <v>48</v>
      </c>
      <c r="B31" s="4">
        <f t="shared" ref="B31" si="29">COUNTA(K31:VR31)</f>
        <v>42</v>
      </c>
      <c r="C31" s="4">
        <f t="shared" ref="C31" si="30">COUNTIF(K31:VR31,"P")</f>
        <v>37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3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  <c r="EM31" s="4" t="s">
        <v>7</v>
      </c>
      <c r="EN31" s="4" t="s">
        <v>7</v>
      </c>
      <c r="EO31" s="4" t="s">
        <v>7</v>
      </c>
      <c r="EP31" s="4" t="s">
        <v>7</v>
      </c>
      <c r="EQ31" s="4" t="s">
        <v>7</v>
      </c>
      <c r="ER31" s="4" t="s">
        <v>7</v>
      </c>
      <c r="ES31" s="4" t="s">
        <v>7</v>
      </c>
      <c r="ET31" s="4" t="s">
        <v>7</v>
      </c>
      <c r="EU31" s="4" t="s">
        <v>7</v>
      </c>
    </row>
    <row r="32" spans="1:151" x14ac:dyDescent="0.2">
      <c r="A32" s="2" t="s">
        <v>47</v>
      </c>
      <c r="B32" s="4">
        <f t="shared" ref="B32" si="38">COUNTA(K32:VR32)</f>
        <v>38</v>
      </c>
      <c r="C32" s="4">
        <f t="shared" ref="C32" si="39">COUNTIF(K32:VR32,"P")</f>
        <v>35</v>
      </c>
      <c r="D32" s="6">
        <f t="shared" ref="D32" si="40">COUNTIF(K32:VR32,"REP")</f>
        <v>0</v>
      </c>
      <c r="E32" s="4">
        <f t="shared" ref="E32" si="41">COUNTIF(K32:VS32,"A")</f>
        <v>1</v>
      </c>
      <c r="F32" s="4">
        <f t="shared" ref="F32" si="42">COUNTIF(K32:VT32,"B")</f>
        <v>2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  <c r="EM32" s="4" t="s">
        <v>7</v>
      </c>
      <c r="EN32" s="4" t="s">
        <v>7</v>
      </c>
      <c r="EO32" s="4" t="s">
        <v>7</v>
      </c>
      <c r="EP32" s="4" t="s">
        <v>7</v>
      </c>
      <c r="EQ32" s="4" t="s">
        <v>7</v>
      </c>
      <c r="ER32" s="4" t="s">
        <v>7</v>
      </c>
      <c r="ES32" s="4" t="s">
        <v>7</v>
      </c>
      <c r="ET32" s="4" t="s">
        <v>35</v>
      </c>
      <c r="EU32" s="4" t="s">
        <v>35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2026-04-17T11:36:54Z</dcterms:modified>
</cp:coreProperties>
</file>