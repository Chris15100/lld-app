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"/>
    </mc:Choice>
  </mc:AlternateContent>
  <xr:revisionPtr revIDLastSave="0" documentId="13_ncr:1_{9024803B-597E-644F-A986-B5EDFE15BE78}" xr6:coauthVersionLast="47" xr6:coauthVersionMax="47" xr10:uidLastSave="{00000000-0000-0000-0000-000000000000}"/>
  <bookViews>
    <workbookView xWindow="0" yWindow="500" windowWidth="28800" windowHeight="16360" xr2:uid="{2EF0EE96-8EE0-C649-8161-B8679CB6F3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C32" i="1"/>
  <c r="D32" i="1"/>
  <c r="E32" i="1"/>
  <c r="F32" i="1"/>
  <c r="G32" i="1"/>
  <c r="H32" i="1"/>
  <c r="I32" i="1"/>
  <c r="J32" i="1"/>
  <c r="B31" i="1"/>
  <c r="C31" i="1"/>
  <c r="D31" i="1"/>
  <c r="E31" i="1"/>
  <c r="F31" i="1"/>
  <c r="G31" i="1"/>
  <c r="H31" i="1"/>
  <c r="I31" i="1"/>
  <c r="J31" i="1"/>
  <c r="B30" i="1"/>
  <c r="C30" i="1"/>
  <c r="D30" i="1"/>
  <c r="E30" i="1"/>
  <c r="F30" i="1"/>
  <c r="G30" i="1"/>
  <c r="H30" i="1"/>
  <c r="I30" i="1"/>
  <c r="J30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C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F3" i="1"/>
  <c r="F4" i="1"/>
  <c r="F5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E3" i="1"/>
  <c r="E4" i="1"/>
  <c r="E5" i="1"/>
  <c r="E6" i="1"/>
  <c r="E7" i="1"/>
  <c r="B22" i="1"/>
  <c r="C22" i="1"/>
  <c r="B23" i="1"/>
  <c r="C23" i="1"/>
  <c r="B24" i="1"/>
  <c r="C24" i="1"/>
  <c r="B25" i="1"/>
  <c r="C25" i="1"/>
  <c r="B26" i="1"/>
  <c r="C26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" i="1"/>
</calcChain>
</file>

<file path=xl/sharedStrings.xml><?xml version="1.0" encoding="utf-8"?>
<sst xmlns="http://schemas.openxmlformats.org/spreadsheetml/2006/main" count="3958" uniqueCount="49">
  <si>
    <t>Nom du joueur</t>
  </si>
  <si>
    <t xml:space="preserve"> Présences</t>
  </si>
  <si>
    <t>Absences</t>
  </si>
  <si>
    <t>Blessures</t>
  </si>
  <si>
    <t>Réserve</t>
  </si>
  <si>
    <t>Sélections</t>
  </si>
  <si>
    <t>Malade</t>
  </si>
  <si>
    <t>P</t>
  </si>
  <si>
    <t>Nombre entrainements total</t>
  </si>
  <si>
    <t>Alban Rambaud</t>
  </si>
  <si>
    <t>Jassim Assoul</t>
  </si>
  <si>
    <t>Enzo Vita</t>
  </si>
  <si>
    <t>Romain Thunet</t>
  </si>
  <si>
    <t>Amine Taiar</t>
  </si>
  <si>
    <t>Naim Ighbane</t>
  </si>
  <si>
    <t>Hedi Nasri</t>
  </si>
  <si>
    <t>Mattheo Haon</t>
  </si>
  <si>
    <t>Maé Clavel</t>
  </si>
  <si>
    <t>Levy Ndoutoume</t>
  </si>
  <si>
    <t>Yanis Berrached</t>
  </si>
  <si>
    <t>Rayane Chayebi</t>
  </si>
  <si>
    <t>Ilan Ihaddadene</t>
  </si>
  <si>
    <t>Karahali Souaré</t>
  </si>
  <si>
    <t>Amir Etien</t>
  </si>
  <si>
    <t>Karim Belmahi</t>
  </si>
  <si>
    <t>Emmanuel Valey</t>
  </si>
  <si>
    <t>Jeremie Laurent</t>
  </si>
  <si>
    <t>Sofiane Belle</t>
  </si>
  <si>
    <t>Amir Kherrab</t>
  </si>
  <si>
    <t>Naim Dhib</t>
  </si>
  <si>
    <t>Wael Fareh</t>
  </si>
  <si>
    <t>Yoan Zouma</t>
  </si>
  <si>
    <t>A</t>
  </si>
  <si>
    <t>Réathlé</t>
  </si>
  <si>
    <t>RH</t>
  </si>
  <si>
    <t>B</t>
  </si>
  <si>
    <t>Omar Benyounes</t>
  </si>
  <si>
    <t>Yoann Martelat</t>
  </si>
  <si>
    <t>M</t>
  </si>
  <si>
    <t>Ilyes Boughanmi</t>
  </si>
  <si>
    <t>R</t>
  </si>
  <si>
    <t>Repos</t>
  </si>
  <si>
    <t>REP</t>
  </si>
  <si>
    <t>Kamal Bafounta</t>
  </si>
  <si>
    <t>Malik Boussaid</t>
  </si>
  <si>
    <t>p</t>
  </si>
  <si>
    <t>Theo Owono</t>
  </si>
  <si>
    <t>Nathanael Beta</t>
  </si>
  <si>
    <t xml:space="preserve">Mehdi Boussaid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</si>
</sst>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7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E353-69CC-CA42-AE0E-F860DC308060}">
  <dimension ref="A1:FG32"/>
  <sheetViews>
    <sheetView tabSelected="1" workbookViewId="0">
      <pane xSplit="1" topLeftCell="FF1" activePane="topRight" state="frozen"/>
      <selection pane="topRight" activeCell="FK23" sqref="FK23"/>
    </sheetView>
  </sheetViews>
  <sheetFormatPr baseColWidth="10" defaultRowHeight="16" x14ac:dyDescent="0.2"/>
  <cols>
    <col min="1" max="1" width="17.1640625" customWidth="1"/>
  </cols>
  <sheetData>
    <row r="1" spans="1:163" ht="51" x14ac:dyDescent="0.2">
      <c r="A1" s="1" t="s">
        <v>0</v>
      </c>
      <c r="B1" s="1" t="s">
        <v>8</v>
      </c>
      <c r="C1" s="1" t="s">
        <v>1</v>
      </c>
      <c r="D1" s="1" t="s">
        <v>41</v>
      </c>
      <c r="E1" s="1" t="s">
        <v>2</v>
      </c>
      <c r="F1" s="2" t="s">
        <v>3</v>
      </c>
      <c r="G1" s="2" t="s">
        <v>6</v>
      </c>
      <c r="H1" s="2" t="s">
        <v>4</v>
      </c>
      <c r="I1" s="2" t="s">
        <v>33</v>
      </c>
      <c r="J1" s="2" t="s">
        <v>5</v>
      </c>
      <c r="K1" s="3">
        <v>45854</v>
      </c>
      <c r="L1" s="3">
        <v>45855</v>
      </c>
      <c r="M1" s="3">
        <v>45856</v>
      </c>
      <c r="N1" s="5">
        <v>45857</v>
      </c>
      <c r="O1" s="5">
        <v>45859</v>
      </c>
      <c r="P1" s="5">
        <v>45860</v>
      </c>
      <c r="Q1" s="5">
        <v>45861</v>
      </c>
      <c r="R1" s="5">
        <v>45862</v>
      </c>
      <c r="S1" s="5">
        <v>45863</v>
      </c>
      <c r="T1" s="5">
        <v>45866</v>
      </c>
      <c r="U1" s="5">
        <v>45867</v>
      </c>
      <c r="V1" s="5">
        <v>45868</v>
      </c>
      <c r="W1" s="5">
        <v>45869</v>
      </c>
      <c r="X1" s="5">
        <v>45870</v>
      </c>
      <c r="Y1" s="5">
        <v>45874</v>
      </c>
      <c r="Z1" s="5">
        <v>45876</v>
      </c>
      <c r="AA1" s="5">
        <v>45877</v>
      </c>
      <c r="AB1" s="5">
        <v>45880</v>
      </c>
      <c r="AC1" s="5">
        <v>45882</v>
      </c>
      <c r="AD1" s="5">
        <v>45883</v>
      </c>
      <c r="AE1" s="3">
        <v>45888</v>
      </c>
      <c r="AF1" s="3">
        <v>45889</v>
      </c>
      <c r="AG1" s="3">
        <v>45890</v>
      </c>
      <c r="AH1" s="3">
        <v>45892</v>
      </c>
      <c r="AI1" s="3">
        <v>45895</v>
      </c>
      <c r="AJ1" s="3">
        <v>45896</v>
      </c>
      <c r="AK1" s="3">
        <v>45897</v>
      </c>
      <c r="AL1" s="3">
        <v>45898</v>
      </c>
      <c r="AM1" s="5">
        <v>45902</v>
      </c>
      <c r="AN1" s="5">
        <v>45903</v>
      </c>
      <c r="AO1" s="5">
        <v>45904</v>
      </c>
      <c r="AP1" s="5">
        <v>45905</v>
      </c>
      <c r="AQ1" s="5">
        <v>45908</v>
      </c>
      <c r="AR1" s="5">
        <v>45909</v>
      </c>
      <c r="AS1" s="5">
        <v>45910</v>
      </c>
      <c r="AT1" s="5">
        <v>45912</v>
      </c>
      <c r="AU1" s="5">
        <v>45916</v>
      </c>
      <c r="AV1" s="5">
        <v>45917</v>
      </c>
      <c r="AW1" s="5">
        <v>45918</v>
      </c>
      <c r="AX1" s="5">
        <v>45919</v>
      </c>
      <c r="AY1" s="5">
        <v>45922</v>
      </c>
      <c r="AZ1" s="5">
        <v>45923</v>
      </c>
      <c r="BA1" s="5">
        <v>45924</v>
      </c>
      <c r="BB1" s="5">
        <v>45926</v>
      </c>
      <c r="BC1" s="5">
        <v>45930</v>
      </c>
      <c r="BD1" s="5">
        <v>45931</v>
      </c>
      <c r="BE1" s="5">
        <v>45932</v>
      </c>
      <c r="BF1" s="5">
        <v>45933</v>
      </c>
      <c r="BG1" s="5">
        <v>45937</v>
      </c>
      <c r="BH1" s="5">
        <v>45938</v>
      </c>
      <c r="BI1" s="5">
        <v>45939</v>
      </c>
      <c r="BJ1" s="5">
        <v>45941</v>
      </c>
      <c r="BK1" s="5">
        <v>45944</v>
      </c>
      <c r="BL1" s="5">
        <v>45945</v>
      </c>
      <c r="BM1" s="5">
        <v>45946</v>
      </c>
      <c r="BN1" s="5">
        <v>45947</v>
      </c>
      <c r="BO1" s="5">
        <v>45951</v>
      </c>
      <c r="BP1" s="5">
        <v>45952</v>
      </c>
      <c r="BQ1" s="5">
        <v>45954</v>
      </c>
      <c r="BR1" s="5">
        <v>45958</v>
      </c>
      <c r="BS1" s="5">
        <v>45959</v>
      </c>
      <c r="BT1" s="5">
        <v>45960</v>
      </c>
      <c r="BU1" s="5">
        <v>45961</v>
      </c>
      <c r="BV1" s="5">
        <v>45965</v>
      </c>
      <c r="BW1" s="5">
        <v>45966</v>
      </c>
      <c r="BX1" s="5">
        <v>45968</v>
      </c>
      <c r="BY1" s="5">
        <v>45973</v>
      </c>
      <c r="BZ1" s="5">
        <v>45974</v>
      </c>
      <c r="CA1" s="5">
        <v>45976</v>
      </c>
      <c r="CB1" s="5">
        <v>45979</v>
      </c>
      <c r="CC1" s="5">
        <v>45980</v>
      </c>
      <c r="CD1" s="5">
        <v>45981</v>
      </c>
      <c r="CE1" s="5">
        <v>45982</v>
      </c>
      <c r="CF1" s="5">
        <v>45986</v>
      </c>
      <c r="CG1" s="5">
        <v>45987</v>
      </c>
      <c r="CH1" s="5">
        <v>45988</v>
      </c>
      <c r="CI1" s="5">
        <v>45989</v>
      </c>
      <c r="CJ1" s="5">
        <v>45993</v>
      </c>
      <c r="CK1" s="5">
        <v>45994</v>
      </c>
      <c r="CL1" s="5">
        <v>45996</v>
      </c>
      <c r="CM1" s="5">
        <v>46000</v>
      </c>
      <c r="CN1" s="5">
        <v>46002</v>
      </c>
      <c r="CO1" s="5">
        <v>46003</v>
      </c>
      <c r="CP1" s="5">
        <v>46007</v>
      </c>
      <c r="CQ1" s="5">
        <v>46008</v>
      </c>
      <c r="CR1" s="5">
        <v>46009</v>
      </c>
      <c r="CS1" s="5">
        <v>46010</v>
      </c>
      <c r="CT1" s="5">
        <v>46024</v>
      </c>
      <c r="CU1" s="5">
        <v>46027</v>
      </c>
      <c r="CV1" s="5">
        <v>46028</v>
      </c>
      <c r="CW1" s="5">
        <v>46029</v>
      </c>
      <c r="CX1" s="5">
        <v>46030</v>
      </c>
      <c r="CY1" s="3">
        <v>46034</v>
      </c>
      <c r="CZ1" s="3">
        <v>46035</v>
      </c>
      <c r="DA1" s="3">
        <v>46036</v>
      </c>
      <c r="DB1" s="3">
        <v>46038</v>
      </c>
      <c r="DC1" s="3">
        <v>46041</v>
      </c>
      <c r="DD1" s="3">
        <v>46042</v>
      </c>
      <c r="DE1" s="3">
        <v>46043</v>
      </c>
      <c r="DF1" s="3">
        <v>46048</v>
      </c>
      <c r="DG1" s="3">
        <v>46049</v>
      </c>
      <c r="DH1" s="3">
        <v>46050</v>
      </c>
      <c r="DI1" s="3">
        <v>46052</v>
      </c>
      <c r="DJ1" s="3">
        <v>46056</v>
      </c>
      <c r="DK1" s="3">
        <v>46057</v>
      </c>
      <c r="DL1" s="3">
        <v>46058</v>
      </c>
      <c r="DM1" s="3">
        <v>46059</v>
      </c>
      <c r="DN1" s="3">
        <v>46063</v>
      </c>
      <c r="DO1" s="3">
        <v>46064</v>
      </c>
      <c r="DP1" s="3">
        <v>46065</v>
      </c>
      <c r="DQ1" s="3">
        <v>46066</v>
      </c>
      <c r="DR1" s="3">
        <v>46070</v>
      </c>
      <c r="DS1" s="3">
        <v>46071</v>
      </c>
      <c r="DT1" s="3">
        <v>46072</v>
      </c>
      <c r="DU1" s="3">
        <v>46073</v>
      </c>
      <c r="DV1" s="3">
        <v>46076</v>
      </c>
      <c r="DW1" s="3">
        <v>46077</v>
      </c>
      <c r="DX1" s="3">
        <v>46078</v>
      </c>
      <c r="DY1" s="3">
        <v>46079</v>
      </c>
      <c r="DZ1" s="3">
        <v>46084</v>
      </c>
      <c r="EA1" s="3">
        <v>46085</v>
      </c>
      <c r="EB1" s="3">
        <v>46087</v>
      </c>
      <c r="EC1" s="3">
        <v>46091</v>
      </c>
      <c r="ED1" s="3">
        <v>46092</v>
      </c>
      <c r="EE1" s="3">
        <v>46093</v>
      </c>
      <c r="EF1" s="3">
        <v>46097</v>
      </c>
      <c r="EG1" s="3">
        <v>46098</v>
      </c>
      <c r="EH1" s="3">
        <v>46099</v>
      </c>
      <c r="EI1" s="3">
        <v>46101</v>
      </c>
      <c r="EJ1" s="3">
        <v>46105</v>
      </c>
      <c r="EK1" s="3">
        <v>46106</v>
      </c>
      <c r="EL1" s="3">
        <v>46108</v>
      </c>
      <c r="EM1" s="3">
        <v>46112</v>
      </c>
      <c r="EN1" s="3">
        <v>46113</v>
      </c>
      <c r="EO1" s="3">
        <v>46115</v>
      </c>
      <c r="EP1" s="3">
        <v>46119</v>
      </c>
      <c r="EQ1" s="3">
        <v>46120</v>
      </c>
      <c r="ER1" s="3">
        <v>46122</v>
      </c>
      <c r="ES1" s="3">
        <v>46126</v>
      </c>
      <c r="ET1" s="3">
        <v>46127</v>
      </c>
      <c r="EU1" s="3">
        <v>46129</v>
      </c>
      <c r="EV1" s="3">
        <v>46133</v>
      </c>
      <c r="EW1" s="3">
        <v>46134</v>
      </c>
      <c r="EX1" s="3">
        <v>46136</v>
      </c>
      <c r="EY1" s="3">
        <v>46140</v>
      </c>
      <c r="EZ1" s="3">
        <v>46141</v>
      </c>
      <c r="FA1" s="3">
        <v>46142</v>
      </c>
      <c r="FB1" s="5">
        <v>46146</v>
      </c>
      <c r="FC1" s="5">
        <v>46147</v>
      </c>
      <c r="FD1" s="5">
        <v>46148</v>
      </c>
      <c r="FE1" s="5">
        <v>46150</v>
      </c>
      <c r="FF1" s="5">
        <v>46154</v>
      </c>
      <c r="FG1" s="5">
        <v>46155</v>
      </c>
    </row>
    <row r="2" spans="1:163" x14ac:dyDescent="0.2">
      <c r="A2" s="2" t="s">
        <v>9</v>
      </c>
      <c r="B2" s="4">
        <f>COUNTA(K2:VR2)</f>
        <v>153</v>
      </c>
      <c r="C2" s="4">
        <f>COUNTIF(K2:VR2,"P")</f>
        <v>149</v>
      </c>
      <c r="D2" s="6">
        <f>COUNTIF(K2:VR2,"REP")</f>
        <v>0</v>
      </c>
      <c r="E2" s="4">
        <f t="shared" ref="E2:E26" si="0">COUNTIF(K2:VS2,"A")</f>
        <v>0</v>
      </c>
      <c r="F2" s="4">
        <f t="shared" ref="F2:F26" si="1">COUNTIF(K2:VT2,"B")</f>
        <v>4</v>
      </c>
      <c r="G2" s="4">
        <f>COUNTIF(K2:VU2,"M")</f>
        <v>0</v>
      </c>
      <c r="H2" s="4">
        <f>COUNTIF(K2:VV2,"R")</f>
        <v>0</v>
      </c>
      <c r="I2" s="4">
        <f>COUNTIF(K2:VW2,"RH")</f>
        <v>0</v>
      </c>
      <c r="J2" s="4">
        <f>COUNTIF(K2:VW2,"S")</f>
        <v>0</v>
      </c>
      <c r="K2" s="4" t="s">
        <v>7</v>
      </c>
      <c r="L2" s="4" t="s">
        <v>7</v>
      </c>
      <c r="M2" s="4" t="s">
        <v>7</v>
      </c>
      <c r="N2" s="4" t="s">
        <v>7</v>
      </c>
      <c r="O2" s="4" t="s">
        <v>7</v>
      </c>
      <c r="P2" s="4" t="s">
        <v>7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  <c r="W2" s="4" t="s">
        <v>7</v>
      </c>
      <c r="X2" s="4" t="s">
        <v>7</v>
      </c>
      <c r="Y2" s="4" t="s">
        <v>7</v>
      </c>
      <c r="Z2" s="4" t="s">
        <v>7</v>
      </c>
      <c r="AA2" s="4" t="s">
        <v>7</v>
      </c>
      <c r="AB2" s="4" t="s">
        <v>7</v>
      </c>
      <c r="AC2" s="4" t="s">
        <v>7</v>
      </c>
      <c r="AD2" s="4" t="s">
        <v>7</v>
      </c>
      <c r="AE2" s="4" t="s">
        <v>7</v>
      </c>
      <c r="AF2" s="4" t="s">
        <v>7</v>
      </c>
      <c r="AG2" s="4" t="s">
        <v>7</v>
      </c>
      <c r="AH2" s="4" t="s">
        <v>7</v>
      </c>
      <c r="AI2" s="4" t="s">
        <v>7</v>
      </c>
      <c r="AJ2" s="4" t="s">
        <v>7</v>
      </c>
      <c r="AK2" s="4" t="s">
        <v>7</v>
      </c>
      <c r="AL2" s="4" t="s">
        <v>7</v>
      </c>
      <c r="AM2" s="4" t="s">
        <v>7</v>
      </c>
      <c r="AN2" s="4" t="s">
        <v>7</v>
      </c>
      <c r="AO2" s="4" t="s">
        <v>7</v>
      </c>
      <c r="AP2" s="4" t="s">
        <v>7</v>
      </c>
      <c r="AQ2" s="4" t="s">
        <v>7</v>
      </c>
      <c r="AR2" s="4" t="s">
        <v>7</v>
      </c>
      <c r="AS2" s="4" t="s">
        <v>7</v>
      </c>
      <c r="AT2" s="4" t="s">
        <v>7</v>
      </c>
      <c r="AU2" s="4" t="s">
        <v>7</v>
      </c>
      <c r="AV2" s="4" t="s">
        <v>7</v>
      </c>
      <c r="AW2" s="4" t="s">
        <v>7</v>
      </c>
      <c r="AX2" s="4" t="s">
        <v>7</v>
      </c>
      <c r="AY2" s="4" t="s">
        <v>7</v>
      </c>
      <c r="AZ2" s="4" t="s">
        <v>7</v>
      </c>
      <c r="BA2" s="4" t="s">
        <v>7</v>
      </c>
      <c r="BB2" s="4" t="s">
        <v>7</v>
      </c>
      <c r="BC2" s="4" t="s">
        <v>7</v>
      </c>
      <c r="BD2" s="4" t="s">
        <v>7</v>
      </c>
      <c r="BE2" s="4" t="s">
        <v>7</v>
      </c>
      <c r="BF2" s="4" t="s">
        <v>7</v>
      </c>
      <c r="BG2" s="4" t="s">
        <v>7</v>
      </c>
      <c r="BH2" s="4" t="s">
        <v>7</v>
      </c>
      <c r="BI2" s="4" t="s">
        <v>7</v>
      </c>
      <c r="BJ2" s="4" t="s">
        <v>7</v>
      </c>
      <c r="BK2" s="4" t="s">
        <v>7</v>
      </c>
      <c r="BL2" s="4" t="s">
        <v>7</v>
      </c>
      <c r="BM2" s="4" t="s">
        <v>7</v>
      </c>
      <c r="BN2" s="4" t="s">
        <v>7</v>
      </c>
      <c r="BO2" s="4" t="s">
        <v>7</v>
      </c>
      <c r="BP2" s="4" t="s">
        <v>7</v>
      </c>
      <c r="BQ2" s="4" t="s">
        <v>7</v>
      </c>
      <c r="BR2" s="4" t="s">
        <v>7</v>
      </c>
      <c r="BS2" s="4" t="s">
        <v>7</v>
      </c>
      <c r="BT2" s="4" t="s">
        <v>7</v>
      </c>
      <c r="BU2" s="4" t="s">
        <v>7</v>
      </c>
      <c r="BV2" s="4" t="s">
        <v>7</v>
      </c>
      <c r="BW2" s="4" t="s">
        <v>7</v>
      </c>
      <c r="BX2" s="4" t="s">
        <v>7</v>
      </c>
      <c r="BY2" s="4" t="s">
        <v>7</v>
      </c>
      <c r="BZ2" s="4" t="s">
        <v>7</v>
      </c>
      <c r="CA2" s="4" t="s">
        <v>7</v>
      </c>
      <c r="CB2" s="4" t="s">
        <v>7</v>
      </c>
      <c r="CC2" s="4" t="s">
        <v>7</v>
      </c>
      <c r="CD2" s="4" t="s">
        <v>7</v>
      </c>
      <c r="CE2" s="4" t="s">
        <v>7</v>
      </c>
      <c r="CF2" s="4" t="s">
        <v>7</v>
      </c>
      <c r="CG2" s="4" t="s">
        <v>7</v>
      </c>
      <c r="CH2" s="4" t="s">
        <v>7</v>
      </c>
      <c r="CI2" s="4" t="s">
        <v>7</v>
      </c>
      <c r="CJ2" s="4" t="s">
        <v>7</v>
      </c>
      <c r="CK2" s="4" t="s">
        <v>7</v>
      </c>
      <c r="CL2" s="4" t="s">
        <v>7</v>
      </c>
      <c r="CM2" s="4" t="s">
        <v>7</v>
      </c>
      <c r="CN2" s="4" t="s">
        <v>7</v>
      </c>
      <c r="CO2" s="4" t="s">
        <v>7</v>
      </c>
      <c r="CP2" s="4" t="s">
        <v>7</v>
      </c>
      <c r="CQ2" s="4" t="s">
        <v>7</v>
      </c>
      <c r="CR2" s="4" t="s">
        <v>7</v>
      </c>
      <c r="CS2" s="4" t="s">
        <v>7</v>
      </c>
      <c r="CT2" s="4" t="s">
        <v>7</v>
      </c>
      <c r="CU2" s="4" t="s">
        <v>7</v>
      </c>
      <c r="CV2" s="4" t="s">
        <v>7</v>
      </c>
      <c r="CW2" s="4" t="s">
        <v>7</v>
      </c>
      <c r="CX2" s="4" t="s">
        <v>7</v>
      </c>
      <c r="CY2" s="4" t="s">
        <v>35</v>
      </c>
      <c r="CZ2" s="4" t="s">
        <v>35</v>
      </c>
      <c r="DA2" s="4" t="s">
        <v>35</v>
      </c>
      <c r="DB2" s="4" t="s">
        <v>35</v>
      </c>
      <c r="DC2" s="4" t="s">
        <v>7</v>
      </c>
      <c r="DD2" s="4" t="s">
        <v>7</v>
      </c>
      <c r="DE2" s="4" t="s">
        <v>7</v>
      </c>
      <c r="DF2" s="4" t="s">
        <v>7</v>
      </c>
      <c r="DG2" s="4" t="s">
        <v>7</v>
      </c>
      <c r="DH2" s="4" t="s">
        <v>7</v>
      </c>
      <c r="DI2" s="4" t="s">
        <v>7</v>
      </c>
      <c r="DJ2" s="4" t="s">
        <v>7</v>
      </c>
      <c r="DK2" s="4" t="s">
        <v>7</v>
      </c>
      <c r="DL2" s="4" t="s">
        <v>7</v>
      </c>
      <c r="DM2" s="4" t="s">
        <v>7</v>
      </c>
      <c r="DN2" s="4" t="s">
        <v>7</v>
      </c>
      <c r="DO2" s="4" t="s">
        <v>7</v>
      </c>
      <c r="DP2" s="4" t="s">
        <v>7</v>
      </c>
      <c r="DQ2" s="4" t="s">
        <v>7</v>
      </c>
      <c r="DR2" s="4" t="s">
        <v>7</v>
      </c>
      <c r="DS2" s="4" t="s">
        <v>7</v>
      </c>
      <c r="DT2" s="4" t="s">
        <v>7</v>
      </c>
      <c r="DU2" s="4" t="s">
        <v>7</v>
      </c>
      <c r="DV2" s="4" t="s">
        <v>7</v>
      </c>
      <c r="DW2" s="4" t="s">
        <v>7</v>
      </c>
      <c r="DX2" s="4" t="s">
        <v>7</v>
      </c>
      <c r="DY2" s="4" t="s">
        <v>7</v>
      </c>
      <c r="DZ2" s="4" t="s">
        <v>7</v>
      </c>
      <c r="EA2" s="4" t="s">
        <v>7</v>
      </c>
      <c r="EB2" s="4" t="s">
        <v>7</v>
      </c>
      <c r="EC2" s="4" t="s">
        <v>7</v>
      </c>
      <c r="ED2" s="4" t="s">
        <v>7</v>
      </c>
      <c r="EE2" s="4" t="s">
        <v>7</v>
      </c>
      <c r="EF2" s="4" t="s">
        <v>7</v>
      </c>
      <c r="EG2" s="4" t="s">
        <v>7</v>
      </c>
      <c r="EH2" s="4" t="s">
        <v>7</v>
      </c>
      <c r="EI2" s="4" t="s">
        <v>7</v>
      </c>
      <c r="EJ2" s="4" t="s">
        <v>7</v>
      </c>
      <c r="EK2" s="4" t="s">
        <v>7</v>
      </c>
      <c r="EL2" s="4" t="s">
        <v>7</v>
      </c>
      <c r="EM2" s="4" t="s">
        <v>7</v>
      </c>
      <c r="EN2" s="4" t="s">
        <v>7</v>
      </c>
      <c r="EO2" s="4" t="s">
        <v>7</v>
      </c>
      <c r="EP2" s="4" t="s">
        <v>7</v>
      </c>
      <c r="EQ2" s="4" t="s">
        <v>7</v>
      </c>
      <c r="ER2" s="4" t="s">
        <v>7</v>
      </c>
      <c r="ES2" s="4" t="s">
        <v>7</v>
      </c>
      <c r="ET2" s="4" t="s">
        <v>7</v>
      </c>
      <c r="EU2" s="4" t="s">
        <v>7</v>
      </c>
      <c r="EV2" s="4" t="s">
        <v>7</v>
      </c>
      <c r="EW2" s="4" t="s">
        <v>7</v>
      </c>
      <c r="EX2" s="4" t="s">
        <v>7</v>
      </c>
      <c r="EY2" s="4" t="s">
        <v>7</v>
      </c>
      <c r="EZ2" s="4" t="s">
        <v>7</v>
      </c>
      <c r="FA2" s="4" t="s">
        <v>7</v>
      </c>
      <c r="FB2" s="4" t="s">
        <v>7</v>
      </c>
      <c r="FC2" s="4" t="s">
        <v>7</v>
      </c>
      <c r="FD2" s="4" t="s">
        <v>7</v>
      </c>
      <c r="FE2" s="4" t="s">
        <v>7</v>
      </c>
      <c r="FF2" s="4" t="s">
        <v>7</v>
      </c>
      <c r="FG2" s="4" t="s">
        <v>7</v>
      </c>
    </row>
    <row r="3" spans="1:163" x14ac:dyDescent="0.2">
      <c r="A3" s="2" t="s">
        <v>10</v>
      </c>
      <c r="B3" s="4">
        <f t="shared" ref="B3:B21" si="2">COUNTA(K3:VR3)</f>
        <v>153</v>
      </c>
      <c r="C3" s="4">
        <f t="shared" ref="C3:C21" si="3">COUNTIF(K3:VR3,"P")</f>
        <v>114</v>
      </c>
      <c r="D3" s="6">
        <f t="shared" ref="D3:D26" si="4">COUNTIF(K3:VR3,"REP")</f>
        <v>0</v>
      </c>
      <c r="E3" s="4">
        <f t="shared" si="0"/>
        <v>2</v>
      </c>
      <c r="F3" s="4">
        <f t="shared" si="1"/>
        <v>10</v>
      </c>
      <c r="G3" s="4">
        <f t="shared" ref="G3:G26" si="5">COUNTIF(K3:VU3,"M")</f>
        <v>6</v>
      </c>
      <c r="H3" s="4">
        <f t="shared" ref="H3:H26" si="6">COUNTIF(K3:VV3,"R")</f>
        <v>21</v>
      </c>
      <c r="I3" s="4">
        <f t="shared" ref="I3:I26" si="7">COUNTIF(K3:VW3,"RH")</f>
        <v>0</v>
      </c>
      <c r="J3" s="4">
        <f t="shared" ref="J3:J26" si="8">COUNTIF(K3:VW3,"S")</f>
        <v>0</v>
      </c>
      <c r="K3" s="4" t="s">
        <v>7</v>
      </c>
      <c r="L3" s="4" t="s">
        <v>7</v>
      </c>
      <c r="M3" s="4" t="s">
        <v>7</v>
      </c>
      <c r="N3" s="4" t="s">
        <v>7</v>
      </c>
      <c r="O3" s="4" t="s">
        <v>7</v>
      </c>
      <c r="P3" s="4" t="s">
        <v>7</v>
      </c>
      <c r="Q3" s="4" t="s">
        <v>7</v>
      </c>
      <c r="R3" s="4" t="s">
        <v>7</v>
      </c>
      <c r="S3" s="4" t="s">
        <v>7</v>
      </c>
      <c r="T3" s="4" t="s">
        <v>7</v>
      </c>
      <c r="U3" s="4" t="s">
        <v>7</v>
      </c>
      <c r="V3" s="4" t="s">
        <v>7</v>
      </c>
      <c r="W3" s="4" t="s">
        <v>7</v>
      </c>
      <c r="X3" s="4" t="s">
        <v>7</v>
      </c>
      <c r="Y3" s="4" t="s">
        <v>7</v>
      </c>
      <c r="Z3" s="4" t="s">
        <v>7</v>
      </c>
      <c r="AA3" s="4" t="s">
        <v>7</v>
      </c>
      <c r="AB3" s="4" t="s">
        <v>7</v>
      </c>
      <c r="AC3" s="4" t="s">
        <v>7</v>
      </c>
      <c r="AD3" s="4" t="s">
        <v>7</v>
      </c>
      <c r="AE3" s="4" t="s">
        <v>35</v>
      </c>
      <c r="AF3" s="4" t="s">
        <v>38</v>
      </c>
      <c r="AG3" s="4" t="s">
        <v>38</v>
      </c>
      <c r="AH3" s="4" t="s">
        <v>7</v>
      </c>
      <c r="AI3" s="4" t="s">
        <v>7</v>
      </c>
      <c r="AJ3" s="4" t="s">
        <v>40</v>
      </c>
      <c r="AK3" s="4" t="s">
        <v>7</v>
      </c>
      <c r="AL3" s="4" t="s">
        <v>40</v>
      </c>
      <c r="AM3" s="4" t="s">
        <v>7</v>
      </c>
      <c r="AN3" s="4" t="s">
        <v>7</v>
      </c>
      <c r="AO3" s="4" t="s">
        <v>7</v>
      </c>
      <c r="AP3" s="4" t="s">
        <v>40</v>
      </c>
      <c r="AQ3" s="4" t="s">
        <v>7</v>
      </c>
      <c r="AR3" s="4" t="s">
        <v>7</v>
      </c>
      <c r="AS3" s="4" t="s">
        <v>7</v>
      </c>
      <c r="AT3" s="4" t="s">
        <v>40</v>
      </c>
      <c r="AU3" s="4" t="s">
        <v>7</v>
      </c>
      <c r="AV3" s="4" t="s">
        <v>7</v>
      </c>
      <c r="AW3" s="4" t="s">
        <v>7</v>
      </c>
      <c r="AX3" s="4" t="s">
        <v>7</v>
      </c>
      <c r="AY3" s="4" t="s">
        <v>35</v>
      </c>
      <c r="AZ3" s="4" t="s">
        <v>7</v>
      </c>
      <c r="BA3" s="4" t="s">
        <v>7</v>
      </c>
      <c r="BB3" s="4" t="s">
        <v>7</v>
      </c>
      <c r="BC3" s="4" t="s">
        <v>7</v>
      </c>
      <c r="BD3" s="4" t="s">
        <v>7</v>
      </c>
      <c r="BE3" s="4" t="s">
        <v>7</v>
      </c>
      <c r="BF3" s="4" t="s">
        <v>40</v>
      </c>
      <c r="BG3" s="4" t="s">
        <v>7</v>
      </c>
      <c r="BH3" s="4" t="s">
        <v>7</v>
      </c>
      <c r="BI3" s="4" t="s">
        <v>7</v>
      </c>
      <c r="BJ3" s="4" t="s">
        <v>40</v>
      </c>
      <c r="BK3" s="4" t="s">
        <v>7</v>
      </c>
      <c r="BL3" s="4" t="s">
        <v>7</v>
      </c>
      <c r="BM3" s="4" t="s">
        <v>7</v>
      </c>
      <c r="BN3" s="4" t="s">
        <v>40</v>
      </c>
      <c r="BO3" s="4" t="s">
        <v>7</v>
      </c>
      <c r="BP3" s="4" t="s">
        <v>7</v>
      </c>
      <c r="BQ3" s="4" t="s">
        <v>7</v>
      </c>
      <c r="BR3" s="4" t="s">
        <v>7</v>
      </c>
      <c r="BS3" s="4" t="s">
        <v>7</v>
      </c>
      <c r="BT3" s="4" t="s">
        <v>7</v>
      </c>
      <c r="BU3" s="4" t="s">
        <v>40</v>
      </c>
      <c r="BV3" s="4" t="s">
        <v>7</v>
      </c>
      <c r="BW3" s="4" t="s">
        <v>40</v>
      </c>
      <c r="BX3" s="4" t="s">
        <v>40</v>
      </c>
      <c r="BY3" s="4" t="s">
        <v>7</v>
      </c>
      <c r="BZ3" s="4" t="s">
        <v>7</v>
      </c>
      <c r="CA3" s="4" t="s">
        <v>7</v>
      </c>
      <c r="CB3" s="4" t="s">
        <v>7</v>
      </c>
      <c r="CC3" s="4" t="s">
        <v>7</v>
      </c>
      <c r="CD3" s="4" t="s">
        <v>7</v>
      </c>
      <c r="CE3" s="4" t="s">
        <v>7</v>
      </c>
      <c r="CF3" s="4" t="s">
        <v>7</v>
      </c>
      <c r="CG3" s="4" t="s">
        <v>7</v>
      </c>
      <c r="CH3" s="4" t="s">
        <v>7</v>
      </c>
      <c r="CI3" s="4" t="s">
        <v>7</v>
      </c>
      <c r="CJ3" s="4" t="s">
        <v>7</v>
      </c>
      <c r="CK3" s="4" t="s">
        <v>7</v>
      </c>
      <c r="CL3" s="4" t="s">
        <v>40</v>
      </c>
      <c r="CM3" s="4" t="s">
        <v>7</v>
      </c>
      <c r="CN3" s="4" t="s">
        <v>7</v>
      </c>
      <c r="CO3" s="4" t="s">
        <v>40</v>
      </c>
      <c r="CP3" s="4" t="s">
        <v>7</v>
      </c>
      <c r="CQ3" s="4" t="s">
        <v>7</v>
      </c>
      <c r="CR3" s="4" t="s">
        <v>7</v>
      </c>
      <c r="CS3" s="4" t="s">
        <v>7</v>
      </c>
      <c r="CT3" s="4" t="s">
        <v>7</v>
      </c>
      <c r="CU3" s="4" t="s">
        <v>7</v>
      </c>
      <c r="CV3" s="4" t="s">
        <v>7</v>
      </c>
      <c r="CW3" s="4" t="s">
        <v>7</v>
      </c>
      <c r="CX3" s="4" t="s">
        <v>7</v>
      </c>
      <c r="CY3" s="4" t="s">
        <v>7</v>
      </c>
      <c r="CZ3" s="4" t="s">
        <v>7</v>
      </c>
      <c r="DA3" s="4" t="s">
        <v>7</v>
      </c>
      <c r="DB3" s="4" t="s">
        <v>7</v>
      </c>
      <c r="DC3" s="4" t="s">
        <v>7</v>
      </c>
      <c r="DD3" s="4" t="s">
        <v>7</v>
      </c>
      <c r="DE3" s="4" t="s">
        <v>7</v>
      </c>
      <c r="DF3" s="4" t="s">
        <v>7</v>
      </c>
      <c r="DG3" s="4" t="s">
        <v>7</v>
      </c>
      <c r="DH3" s="4" t="s">
        <v>7</v>
      </c>
      <c r="DI3" s="4" t="s">
        <v>40</v>
      </c>
      <c r="DJ3" s="4" t="s">
        <v>7</v>
      </c>
      <c r="DK3" s="4" t="s">
        <v>7</v>
      </c>
      <c r="DL3" s="4" t="s">
        <v>7</v>
      </c>
      <c r="DM3" s="4" t="s">
        <v>40</v>
      </c>
      <c r="DN3" s="4" t="s">
        <v>7</v>
      </c>
      <c r="DO3" s="4" t="s">
        <v>7</v>
      </c>
      <c r="DP3" s="4" t="s">
        <v>38</v>
      </c>
      <c r="DQ3" s="4" t="s">
        <v>38</v>
      </c>
      <c r="DR3" s="4" t="s">
        <v>7</v>
      </c>
      <c r="DS3" s="4" t="s">
        <v>7</v>
      </c>
      <c r="DT3" s="4" t="s">
        <v>7</v>
      </c>
      <c r="DU3" s="4" t="s">
        <v>7</v>
      </c>
      <c r="DV3" s="4" t="s">
        <v>7</v>
      </c>
      <c r="DW3" s="4" t="s">
        <v>7</v>
      </c>
      <c r="DX3" s="4" t="s">
        <v>32</v>
      </c>
      <c r="DY3" s="4" t="s">
        <v>40</v>
      </c>
      <c r="DZ3" s="4" t="s">
        <v>7</v>
      </c>
      <c r="EA3" s="4" t="s">
        <v>7</v>
      </c>
      <c r="EB3" s="4" t="s">
        <v>40</v>
      </c>
      <c r="EC3" s="4" t="s">
        <v>7</v>
      </c>
      <c r="ED3" s="4" t="s">
        <v>7</v>
      </c>
      <c r="EE3" s="4" t="s">
        <v>7</v>
      </c>
      <c r="EF3" s="4" t="s">
        <v>7</v>
      </c>
      <c r="EG3" s="4" t="s">
        <v>7</v>
      </c>
      <c r="EH3" s="4" t="s">
        <v>7</v>
      </c>
      <c r="EI3" s="4" t="s">
        <v>40</v>
      </c>
      <c r="EJ3" s="4" t="s">
        <v>38</v>
      </c>
      <c r="EK3" s="4" t="s">
        <v>38</v>
      </c>
      <c r="EL3" s="4" t="s">
        <v>40</v>
      </c>
      <c r="EM3" s="4" t="s">
        <v>7</v>
      </c>
      <c r="EN3" s="4" t="s">
        <v>7</v>
      </c>
      <c r="EO3" s="4" t="s">
        <v>40</v>
      </c>
      <c r="EP3" s="4" t="s">
        <v>7</v>
      </c>
      <c r="EQ3" s="4" t="s">
        <v>32</v>
      </c>
      <c r="ER3" s="4" t="s">
        <v>40</v>
      </c>
      <c r="ES3" s="4" t="s">
        <v>7</v>
      </c>
      <c r="ET3" s="4" t="s">
        <v>7</v>
      </c>
      <c r="EU3" s="4" t="s">
        <v>7</v>
      </c>
      <c r="EV3" s="4" t="s">
        <v>7</v>
      </c>
      <c r="EW3" s="4" t="s">
        <v>7</v>
      </c>
      <c r="EX3" s="4" t="s">
        <v>40</v>
      </c>
      <c r="EY3" s="4" t="s">
        <v>35</v>
      </c>
      <c r="EZ3" s="4" t="s">
        <v>35</v>
      </c>
      <c r="FA3" s="4" t="s">
        <v>35</v>
      </c>
      <c r="FB3" s="4" t="s">
        <v>7</v>
      </c>
      <c r="FC3" s="4" t="s">
        <v>35</v>
      </c>
      <c r="FD3" s="4" t="s">
        <v>35</v>
      </c>
      <c r="FE3" s="4" t="s">
        <v>35</v>
      </c>
      <c r="FF3" s="4" t="s">
        <v>35</v>
      </c>
      <c r="FG3" s="4" t="s">
        <v>35</v>
      </c>
    </row>
    <row r="4" spans="1:163" x14ac:dyDescent="0.2">
      <c r="A4" s="2" t="s">
        <v>11</v>
      </c>
      <c r="B4" s="4">
        <f t="shared" si="2"/>
        <v>153</v>
      </c>
      <c r="C4" s="4">
        <f t="shared" si="3"/>
        <v>150</v>
      </c>
      <c r="D4" s="6">
        <f t="shared" si="4"/>
        <v>1</v>
      </c>
      <c r="E4" s="4">
        <f t="shared" si="0"/>
        <v>1</v>
      </c>
      <c r="F4" s="4">
        <f t="shared" si="1"/>
        <v>0</v>
      </c>
      <c r="G4" s="4">
        <f t="shared" si="5"/>
        <v>0</v>
      </c>
      <c r="H4" s="4">
        <f t="shared" si="6"/>
        <v>1</v>
      </c>
      <c r="I4" s="4">
        <f t="shared" si="7"/>
        <v>0</v>
      </c>
      <c r="J4" s="4">
        <f t="shared" si="8"/>
        <v>0</v>
      </c>
      <c r="K4" s="4" t="s">
        <v>7</v>
      </c>
      <c r="L4" s="4" t="s">
        <v>7</v>
      </c>
      <c r="M4" s="4" t="s">
        <v>7</v>
      </c>
      <c r="N4" s="4" t="s">
        <v>7</v>
      </c>
      <c r="O4" s="4" t="s">
        <v>7</v>
      </c>
      <c r="P4" s="4" t="s">
        <v>7</v>
      </c>
      <c r="Q4" s="4" t="s">
        <v>7</v>
      </c>
      <c r="R4" s="4" t="s">
        <v>7</v>
      </c>
      <c r="S4" s="4" t="s">
        <v>7</v>
      </c>
      <c r="T4" s="4" t="s">
        <v>7</v>
      </c>
      <c r="U4" s="4" t="s">
        <v>7</v>
      </c>
      <c r="V4" s="4" t="s">
        <v>7</v>
      </c>
      <c r="W4" s="4" t="s">
        <v>7</v>
      </c>
      <c r="X4" s="4" t="s">
        <v>7</v>
      </c>
      <c r="Y4" s="4" t="s">
        <v>7</v>
      </c>
      <c r="Z4" s="4" t="s">
        <v>7</v>
      </c>
      <c r="AA4" s="4" t="s">
        <v>7</v>
      </c>
      <c r="AB4" s="4" t="s">
        <v>7</v>
      </c>
      <c r="AC4" s="4" t="s">
        <v>7</v>
      </c>
      <c r="AD4" s="4" t="s">
        <v>7</v>
      </c>
      <c r="AE4" s="4" t="s">
        <v>7</v>
      </c>
      <c r="AF4" s="4" t="s">
        <v>7</v>
      </c>
      <c r="AG4" s="4" t="s">
        <v>7</v>
      </c>
      <c r="AH4" s="4" t="s">
        <v>7</v>
      </c>
      <c r="AI4" s="4" t="s">
        <v>7</v>
      </c>
      <c r="AJ4" s="4" t="s">
        <v>7</v>
      </c>
      <c r="AK4" s="4" t="s">
        <v>7</v>
      </c>
      <c r="AL4" s="4" t="s">
        <v>7</v>
      </c>
      <c r="AM4" s="4" t="s">
        <v>7</v>
      </c>
      <c r="AN4" s="4" t="s">
        <v>7</v>
      </c>
      <c r="AO4" s="4" t="s">
        <v>7</v>
      </c>
      <c r="AP4" s="4" t="s">
        <v>7</v>
      </c>
      <c r="AQ4" s="4" t="s">
        <v>42</v>
      </c>
      <c r="AR4" s="4" t="s">
        <v>7</v>
      </c>
      <c r="AS4" s="4" t="s">
        <v>7</v>
      </c>
      <c r="AT4" s="4" t="s">
        <v>7</v>
      </c>
      <c r="AU4" s="4" t="s">
        <v>7</v>
      </c>
      <c r="AV4" s="4" t="s">
        <v>7</v>
      </c>
      <c r="AW4" s="4" t="s">
        <v>7</v>
      </c>
      <c r="AX4" s="4" t="s">
        <v>7</v>
      </c>
      <c r="AY4" s="4" t="s">
        <v>7</v>
      </c>
      <c r="AZ4" s="4" t="s">
        <v>7</v>
      </c>
      <c r="BA4" s="4" t="s">
        <v>7</v>
      </c>
      <c r="BB4" s="4" t="s">
        <v>7</v>
      </c>
      <c r="BC4" s="4" t="s">
        <v>7</v>
      </c>
      <c r="BD4" s="4" t="s">
        <v>7</v>
      </c>
      <c r="BE4" s="4" t="s">
        <v>7</v>
      </c>
      <c r="BF4" s="4" t="s">
        <v>7</v>
      </c>
      <c r="BG4" s="4" t="s">
        <v>7</v>
      </c>
      <c r="BH4" s="4" t="s">
        <v>7</v>
      </c>
      <c r="BI4" s="4" t="s">
        <v>7</v>
      </c>
      <c r="BJ4" s="4" t="s">
        <v>7</v>
      </c>
      <c r="BK4" s="4" t="s">
        <v>7</v>
      </c>
      <c r="BL4" s="4" t="s">
        <v>7</v>
      </c>
      <c r="BM4" s="4" t="s">
        <v>7</v>
      </c>
      <c r="BN4" s="4" t="s">
        <v>7</v>
      </c>
      <c r="BO4" s="4" t="s">
        <v>7</v>
      </c>
      <c r="BP4" s="4" t="s">
        <v>7</v>
      </c>
      <c r="BQ4" s="4" t="s">
        <v>7</v>
      </c>
      <c r="BR4" s="4" t="s">
        <v>7</v>
      </c>
      <c r="BS4" s="4" t="s">
        <v>7</v>
      </c>
      <c r="BT4" s="4" t="s">
        <v>7</v>
      </c>
      <c r="BU4" s="4" t="s">
        <v>7</v>
      </c>
      <c r="BV4" s="4" t="s">
        <v>7</v>
      </c>
      <c r="BW4" s="4" t="s">
        <v>7</v>
      </c>
      <c r="BX4" s="4" t="s">
        <v>7</v>
      </c>
      <c r="BY4" s="4" t="s">
        <v>7</v>
      </c>
      <c r="BZ4" s="4" t="s">
        <v>7</v>
      </c>
      <c r="CA4" s="4" t="s">
        <v>7</v>
      </c>
      <c r="CB4" s="4" t="s">
        <v>7</v>
      </c>
      <c r="CC4" s="4" t="s">
        <v>7</v>
      </c>
      <c r="CD4" s="4" t="s">
        <v>7</v>
      </c>
      <c r="CE4" s="4" t="s">
        <v>40</v>
      </c>
      <c r="CF4" s="4" t="s">
        <v>7</v>
      </c>
      <c r="CG4" s="4" t="s">
        <v>7</v>
      </c>
      <c r="CH4" s="4" t="s">
        <v>7</v>
      </c>
      <c r="CI4" s="4" t="s">
        <v>7</v>
      </c>
      <c r="CJ4" s="4" t="s">
        <v>7</v>
      </c>
      <c r="CK4" s="4" t="s">
        <v>7</v>
      </c>
      <c r="CL4" s="4" t="s">
        <v>7</v>
      </c>
      <c r="CM4" s="4" t="s">
        <v>7</v>
      </c>
      <c r="CN4" s="4" t="s">
        <v>7</v>
      </c>
      <c r="CO4" s="4" t="s">
        <v>7</v>
      </c>
      <c r="CP4" s="4" t="s">
        <v>7</v>
      </c>
      <c r="CQ4" s="4" t="s">
        <v>7</v>
      </c>
      <c r="CR4" s="4" t="s">
        <v>7</v>
      </c>
      <c r="CS4" s="4" t="s">
        <v>7</v>
      </c>
      <c r="CT4" s="4" t="s">
        <v>7</v>
      </c>
      <c r="CU4" s="4" t="s">
        <v>7</v>
      </c>
      <c r="CV4" s="4" t="s">
        <v>7</v>
      </c>
      <c r="CW4" s="4" t="s">
        <v>7</v>
      </c>
      <c r="CX4" s="4" t="s">
        <v>7</v>
      </c>
      <c r="CY4" s="4" t="s">
        <v>7</v>
      </c>
      <c r="CZ4" s="4" t="s">
        <v>7</v>
      </c>
      <c r="DA4" s="4" t="s">
        <v>7</v>
      </c>
      <c r="DB4" s="4" t="s">
        <v>7</v>
      </c>
      <c r="DC4" s="4" t="s">
        <v>7</v>
      </c>
      <c r="DD4" s="4" t="s">
        <v>7</v>
      </c>
      <c r="DE4" s="4" t="s">
        <v>7</v>
      </c>
      <c r="DF4" s="4" t="s">
        <v>7</v>
      </c>
      <c r="DG4" s="4" t="s">
        <v>7</v>
      </c>
      <c r="DH4" s="4" t="s">
        <v>7</v>
      </c>
      <c r="DI4" s="4" t="s">
        <v>7</v>
      </c>
      <c r="DJ4" s="4" t="s">
        <v>7</v>
      </c>
      <c r="DK4" s="4" t="s">
        <v>7</v>
      </c>
      <c r="DL4" s="4" t="s">
        <v>7</v>
      </c>
      <c r="DM4" s="4" t="s">
        <v>7</v>
      </c>
      <c r="DN4" s="4" t="s">
        <v>7</v>
      </c>
      <c r="DO4" s="4" t="s">
        <v>7</v>
      </c>
      <c r="DP4" s="4" t="s">
        <v>7</v>
      </c>
      <c r="DQ4" s="4" t="s">
        <v>7</v>
      </c>
      <c r="DR4" s="4" t="s">
        <v>7</v>
      </c>
      <c r="DS4" s="4" t="s">
        <v>7</v>
      </c>
      <c r="DT4" s="4" t="s">
        <v>7</v>
      </c>
      <c r="DU4" s="4" t="s">
        <v>7</v>
      </c>
      <c r="DV4" s="4" t="s">
        <v>7</v>
      </c>
      <c r="DW4" s="4" t="s">
        <v>7</v>
      </c>
      <c r="DX4" s="4" t="s">
        <v>7</v>
      </c>
      <c r="DY4" s="4" t="s">
        <v>7</v>
      </c>
      <c r="DZ4" s="4" t="s">
        <v>7</v>
      </c>
      <c r="EA4" s="4" t="s">
        <v>7</v>
      </c>
      <c r="EB4" s="4" t="s">
        <v>7</v>
      </c>
      <c r="EC4" s="4" t="s">
        <v>7</v>
      </c>
      <c r="ED4" s="4" t="s">
        <v>7</v>
      </c>
      <c r="EE4" s="4" t="s">
        <v>7</v>
      </c>
      <c r="EF4" s="4" t="s">
        <v>7</v>
      </c>
      <c r="EG4" s="4" t="s">
        <v>7</v>
      </c>
      <c r="EH4" s="4" t="s">
        <v>7</v>
      </c>
      <c r="EI4" s="4" t="s">
        <v>7</v>
      </c>
      <c r="EJ4" s="4" t="s">
        <v>7</v>
      </c>
      <c r="EK4" s="4" t="s">
        <v>7</v>
      </c>
      <c r="EL4" s="4" t="s">
        <v>7</v>
      </c>
      <c r="EM4" s="4" t="s">
        <v>32</v>
      </c>
      <c r="EN4" s="4" t="s">
        <v>7</v>
      </c>
      <c r="EO4" s="4" t="s">
        <v>7</v>
      </c>
      <c r="EP4" s="4" t="s">
        <v>7</v>
      </c>
      <c r="EQ4" s="4" t="s">
        <v>7</v>
      </c>
      <c r="ER4" s="4" t="s">
        <v>7</v>
      </c>
      <c r="ES4" s="4" t="s">
        <v>7</v>
      </c>
      <c r="ET4" s="4" t="s">
        <v>7</v>
      </c>
      <c r="EU4" s="4" t="s">
        <v>7</v>
      </c>
      <c r="EV4" s="4" t="s">
        <v>7</v>
      </c>
      <c r="EW4" s="4" t="s">
        <v>7</v>
      </c>
      <c r="EX4" s="4" t="s">
        <v>7</v>
      </c>
      <c r="EY4" s="4" t="s">
        <v>7</v>
      </c>
      <c r="EZ4" s="4" t="s">
        <v>7</v>
      </c>
      <c r="FA4" s="4" t="s">
        <v>7</v>
      </c>
      <c r="FB4" s="4" t="s">
        <v>7</v>
      </c>
      <c r="FC4" s="4" t="s">
        <v>7</v>
      </c>
      <c r="FD4" s="4" t="s">
        <v>7</v>
      </c>
      <c r="FE4" s="4" t="s">
        <v>7</v>
      </c>
      <c r="FF4" s="4" t="s">
        <v>7</v>
      </c>
      <c r="FG4" s="4" t="s">
        <v>7</v>
      </c>
    </row>
    <row r="5" spans="1:163" x14ac:dyDescent="0.2">
      <c r="A5" s="2" t="s">
        <v>12</v>
      </c>
      <c r="B5" s="4">
        <f t="shared" si="2"/>
        <v>153</v>
      </c>
      <c r="C5" s="4">
        <f t="shared" si="3"/>
        <v>111</v>
      </c>
      <c r="D5" s="6">
        <f t="shared" si="4"/>
        <v>1</v>
      </c>
      <c r="E5" s="4">
        <f t="shared" si="0"/>
        <v>0</v>
      </c>
      <c r="F5" s="4">
        <f t="shared" si="1"/>
        <v>28</v>
      </c>
      <c r="G5" s="4">
        <f t="shared" si="5"/>
        <v>0</v>
      </c>
      <c r="H5" s="4">
        <f t="shared" si="6"/>
        <v>0</v>
      </c>
      <c r="I5" s="4">
        <f t="shared" si="7"/>
        <v>13</v>
      </c>
      <c r="J5" s="4">
        <f t="shared" si="8"/>
        <v>0</v>
      </c>
      <c r="K5" s="4" t="s">
        <v>7</v>
      </c>
      <c r="L5" s="4" t="s">
        <v>7</v>
      </c>
      <c r="M5" s="4" t="s">
        <v>7</v>
      </c>
      <c r="N5" s="4" t="s">
        <v>7</v>
      </c>
      <c r="O5" s="4" t="s">
        <v>7</v>
      </c>
      <c r="P5" s="4" t="s">
        <v>7</v>
      </c>
      <c r="Q5" s="4" t="s">
        <v>7</v>
      </c>
      <c r="R5" s="4" t="s">
        <v>34</v>
      </c>
      <c r="S5" s="4" t="s">
        <v>7</v>
      </c>
      <c r="T5" s="4" t="s">
        <v>7</v>
      </c>
      <c r="U5" s="4" t="s">
        <v>7</v>
      </c>
      <c r="V5" s="4" t="s">
        <v>7</v>
      </c>
      <c r="W5" s="4" t="s">
        <v>7</v>
      </c>
      <c r="X5" s="4" t="s">
        <v>7</v>
      </c>
      <c r="Y5" s="4" t="s">
        <v>7</v>
      </c>
      <c r="Z5" s="4" t="s">
        <v>7</v>
      </c>
      <c r="AA5" s="4" t="s">
        <v>7</v>
      </c>
      <c r="AB5" s="4" t="s">
        <v>7</v>
      </c>
      <c r="AC5" s="4" t="s">
        <v>7</v>
      </c>
      <c r="AD5" s="4" t="s">
        <v>7</v>
      </c>
      <c r="AE5" s="4" t="s">
        <v>7</v>
      </c>
      <c r="AF5" s="4" t="s">
        <v>7</v>
      </c>
      <c r="AG5" s="4" t="s">
        <v>7</v>
      </c>
      <c r="AH5" s="4" t="s">
        <v>7</v>
      </c>
      <c r="AI5" s="4" t="s">
        <v>7</v>
      </c>
      <c r="AJ5" s="4" t="s">
        <v>7</v>
      </c>
      <c r="AK5" s="4" t="s">
        <v>7</v>
      </c>
      <c r="AL5" s="4" t="s">
        <v>7</v>
      </c>
      <c r="AM5" s="4" t="s">
        <v>7</v>
      </c>
      <c r="AN5" s="4" t="s">
        <v>7</v>
      </c>
      <c r="AO5" s="4" t="s">
        <v>34</v>
      </c>
      <c r="AP5" s="4" t="s">
        <v>7</v>
      </c>
      <c r="AQ5" s="4" t="s">
        <v>35</v>
      </c>
      <c r="AR5" s="4" t="s">
        <v>35</v>
      </c>
      <c r="AS5" s="4" t="s">
        <v>35</v>
      </c>
      <c r="AT5" s="4" t="s">
        <v>35</v>
      </c>
      <c r="AU5" s="4" t="s">
        <v>35</v>
      </c>
      <c r="AV5" s="4" t="s">
        <v>35</v>
      </c>
      <c r="AW5" s="4" t="s">
        <v>35</v>
      </c>
      <c r="AX5" s="4" t="s">
        <v>35</v>
      </c>
      <c r="AY5" s="4" t="s">
        <v>35</v>
      </c>
      <c r="AZ5" s="4" t="s">
        <v>34</v>
      </c>
      <c r="BA5" s="4" t="s">
        <v>34</v>
      </c>
      <c r="BB5" s="4" t="s">
        <v>34</v>
      </c>
      <c r="BC5" s="4" t="s">
        <v>34</v>
      </c>
      <c r="BD5" s="4" t="s">
        <v>34</v>
      </c>
      <c r="BE5" s="4" t="s">
        <v>34</v>
      </c>
      <c r="BF5" s="4" t="s">
        <v>34</v>
      </c>
      <c r="BG5" s="4" t="s">
        <v>7</v>
      </c>
      <c r="BH5" s="4" t="s">
        <v>7</v>
      </c>
      <c r="BI5" s="4" t="s">
        <v>7</v>
      </c>
      <c r="BJ5" s="4" t="s">
        <v>7</v>
      </c>
      <c r="BK5" s="4" t="s">
        <v>7</v>
      </c>
      <c r="BL5" s="4" t="s">
        <v>7</v>
      </c>
      <c r="BM5" s="4" t="s">
        <v>7</v>
      </c>
      <c r="BN5" s="4" t="s">
        <v>7</v>
      </c>
      <c r="BO5" s="4" t="s">
        <v>7</v>
      </c>
      <c r="BP5" s="4" t="s">
        <v>7</v>
      </c>
      <c r="BQ5" s="4" t="s">
        <v>7</v>
      </c>
      <c r="BR5" s="4" t="s">
        <v>7</v>
      </c>
      <c r="BS5" s="4" t="s">
        <v>7</v>
      </c>
      <c r="BT5" s="4" t="s">
        <v>42</v>
      </c>
      <c r="BU5" s="4" t="s">
        <v>7</v>
      </c>
      <c r="BV5" s="4" t="s">
        <v>35</v>
      </c>
      <c r="BW5" s="4" t="s">
        <v>35</v>
      </c>
      <c r="BX5" s="4" t="s">
        <v>35</v>
      </c>
      <c r="BY5" s="4" t="s">
        <v>35</v>
      </c>
      <c r="BZ5" s="4" t="s">
        <v>35</v>
      </c>
      <c r="CA5" s="4" t="s">
        <v>35</v>
      </c>
      <c r="CB5" s="4" t="s">
        <v>35</v>
      </c>
      <c r="CC5" s="4" t="s">
        <v>35</v>
      </c>
      <c r="CD5" s="4" t="s">
        <v>35</v>
      </c>
      <c r="CE5" s="4" t="s">
        <v>35</v>
      </c>
      <c r="CF5" s="4" t="s">
        <v>34</v>
      </c>
      <c r="CG5" s="4" t="s">
        <v>34</v>
      </c>
      <c r="CH5" s="4" t="s">
        <v>34</v>
      </c>
      <c r="CI5" s="4" t="s">
        <v>34</v>
      </c>
      <c r="CJ5" s="4" t="s">
        <v>7</v>
      </c>
      <c r="CK5" s="4" t="s">
        <v>7</v>
      </c>
      <c r="CL5" s="4" t="s">
        <v>7</v>
      </c>
      <c r="CM5" s="4" t="s">
        <v>7</v>
      </c>
      <c r="CN5" s="4" t="s">
        <v>7</v>
      </c>
      <c r="CO5" s="4" t="s">
        <v>7</v>
      </c>
      <c r="CP5" s="4" t="s">
        <v>7</v>
      </c>
      <c r="CQ5" s="4" t="s">
        <v>7</v>
      </c>
      <c r="CR5" s="4" t="s">
        <v>7</v>
      </c>
      <c r="CS5" s="4" t="s">
        <v>7</v>
      </c>
      <c r="CT5" s="4" t="s">
        <v>7</v>
      </c>
      <c r="CU5" s="4" t="s">
        <v>7</v>
      </c>
      <c r="CV5" s="4" t="s">
        <v>7</v>
      </c>
      <c r="CW5" s="4" t="s">
        <v>7</v>
      </c>
      <c r="CX5" s="4" t="s">
        <v>7</v>
      </c>
      <c r="CY5" s="4" t="s">
        <v>7</v>
      </c>
      <c r="CZ5" s="4" t="s">
        <v>7</v>
      </c>
      <c r="DA5" s="4" t="s">
        <v>7</v>
      </c>
      <c r="DB5" s="4" t="s">
        <v>7</v>
      </c>
      <c r="DC5" s="4" t="s">
        <v>7</v>
      </c>
      <c r="DD5" s="4" t="s">
        <v>7</v>
      </c>
      <c r="DE5" s="4" t="s">
        <v>7</v>
      </c>
      <c r="DF5" s="4" t="s">
        <v>7</v>
      </c>
      <c r="DG5" s="4" t="s">
        <v>7</v>
      </c>
      <c r="DH5" s="4" t="s">
        <v>7</v>
      </c>
      <c r="DI5" s="4" t="s">
        <v>7</v>
      </c>
      <c r="DJ5" s="4" t="s">
        <v>7</v>
      </c>
      <c r="DK5" s="4" t="s">
        <v>7</v>
      </c>
      <c r="DL5" s="4" t="s">
        <v>7</v>
      </c>
      <c r="DM5" s="4" t="s">
        <v>7</v>
      </c>
      <c r="DN5" s="4" t="s">
        <v>7</v>
      </c>
      <c r="DO5" s="4" t="s">
        <v>7</v>
      </c>
      <c r="DP5" s="4" t="s">
        <v>7</v>
      </c>
      <c r="DQ5" s="4" t="s">
        <v>7</v>
      </c>
      <c r="DR5" s="4" t="s">
        <v>7</v>
      </c>
      <c r="DS5" s="4" t="s">
        <v>7</v>
      </c>
      <c r="DT5" s="4" t="s">
        <v>7</v>
      </c>
      <c r="DU5" s="4" t="s">
        <v>7</v>
      </c>
      <c r="DV5" s="4" t="s">
        <v>7</v>
      </c>
      <c r="DW5" s="4" t="s">
        <v>7</v>
      </c>
      <c r="DX5" s="4" t="s">
        <v>7</v>
      </c>
      <c r="DY5" s="4" t="s">
        <v>7</v>
      </c>
      <c r="DZ5" s="4" t="s">
        <v>7</v>
      </c>
      <c r="EA5" s="4" t="s">
        <v>7</v>
      </c>
      <c r="EB5" s="4" t="s">
        <v>7</v>
      </c>
      <c r="EC5" s="4" t="s">
        <v>7</v>
      </c>
      <c r="ED5" s="4" t="s">
        <v>7</v>
      </c>
      <c r="EE5" s="4" t="s">
        <v>7</v>
      </c>
      <c r="EF5" s="4" t="s">
        <v>7</v>
      </c>
      <c r="EG5" s="4" t="s">
        <v>7</v>
      </c>
      <c r="EH5" s="4" t="s">
        <v>7</v>
      </c>
      <c r="EI5" s="4" t="s">
        <v>7</v>
      </c>
      <c r="EJ5" s="4" t="s">
        <v>7</v>
      </c>
      <c r="EK5" s="4" t="s">
        <v>7</v>
      </c>
      <c r="EL5" s="4" t="s">
        <v>7</v>
      </c>
      <c r="EM5" s="4" t="s">
        <v>7</v>
      </c>
      <c r="EN5" s="4" t="s">
        <v>7</v>
      </c>
      <c r="EO5" s="4" t="s">
        <v>7</v>
      </c>
      <c r="EP5" s="4" t="s">
        <v>7</v>
      </c>
      <c r="EQ5" s="4" t="s">
        <v>7</v>
      </c>
      <c r="ER5" s="4" t="s">
        <v>7</v>
      </c>
      <c r="ES5" s="4" t="s">
        <v>7</v>
      </c>
      <c r="ET5" s="4" t="s">
        <v>7</v>
      </c>
      <c r="EU5" s="4" t="s">
        <v>7</v>
      </c>
      <c r="EV5" s="4" t="s">
        <v>7</v>
      </c>
      <c r="EW5" s="4" t="s">
        <v>7</v>
      </c>
      <c r="EX5" s="4" t="s">
        <v>7</v>
      </c>
      <c r="EY5" s="4" t="s">
        <v>35</v>
      </c>
      <c r="EZ5" s="4" t="s">
        <v>35</v>
      </c>
      <c r="FA5" s="4" t="s">
        <v>35</v>
      </c>
      <c r="FB5" s="4" t="s">
        <v>35</v>
      </c>
      <c r="FC5" s="4" t="s">
        <v>35</v>
      </c>
      <c r="FD5" s="4" t="s">
        <v>35</v>
      </c>
      <c r="FE5" s="4" t="s">
        <v>35</v>
      </c>
      <c r="FF5" s="4" t="s">
        <v>35</v>
      </c>
      <c r="FG5" s="4" t="s">
        <v>35</v>
      </c>
    </row>
    <row r="6" spans="1:163" x14ac:dyDescent="0.2">
      <c r="A6" s="2" t="s">
        <v>13</v>
      </c>
      <c r="B6" s="4">
        <f t="shared" si="2"/>
        <v>153</v>
      </c>
      <c r="C6" s="4">
        <f t="shared" si="3"/>
        <v>68</v>
      </c>
      <c r="D6" s="6">
        <f t="shared" si="4"/>
        <v>1</v>
      </c>
      <c r="E6" s="4">
        <f t="shared" si="0"/>
        <v>15</v>
      </c>
      <c r="F6" s="4">
        <f>COUNTIF(K6:VT6,"B")</f>
        <v>46</v>
      </c>
      <c r="G6" s="4">
        <f t="shared" si="5"/>
        <v>4</v>
      </c>
      <c r="H6" s="4">
        <f t="shared" si="6"/>
        <v>7</v>
      </c>
      <c r="I6" s="4">
        <f t="shared" si="7"/>
        <v>12</v>
      </c>
      <c r="J6" s="4">
        <f t="shared" si="8"/>
        <v>0</v>
      </c>
      <c r="K6" s="4" t="s">
        <v>7</v>
      </c>
      <c r="L6" s="4" t="s">
        <v>7</v>
      </c>
      <c r="M6" s="4" t="s">
        <v>7</v>
      </c>
      <c r="N6" s="4" t="s">
        <v>7</v>
      </c>
      <c r="O6" s="4" t="s">
        <v>7</v>
      </c>
      <c r="P6" s="4" t="s">
        <v>7</v>
      </c>
      <c r="Q6" s="4" t="s">
        <v>7</v>
      </c>
      <c r="R6" s="4" t="s">
        <v>7</v>
      </c>
      <c r="S6" s="4" t="s">
        <v>7</v>
      </c>
      <c r="T6" s="4" t="s">
        <v>7</v>
      </c>
      <c r="U6" s="4" t="s">
        <v>7</v>
      </c>
      <c r="V6" s="4" t="s">
        <v>7</v>
      </c>
      <c r="W6" s="4" t="s">
        <v>7</v>
      </c>
      <c r="X6" s="4" t="s">
        <v>7</v>
      </c>
      <c r="Y6" s="4" t="s">
        <v>7</v>
      </c>
      <c r="Z6" s="4" t="s">
        <v>7</v>
      </c>
      <c r="AA6" s="4" t="s">
        <v>7</v>
      </c>
      <c r="AB6" s="4" t="s">
        <v>7</v>
      </c>
      <c r="AC6" s="4" t="s">
        <v>7</v>
      </c>
      <c r="AD6" s="4" t="s">
        <v>7</v>
      </c>
      <c r="AE6" s="4" t="s">
        <v>32</v>
      </c>
      <c r="AF6" s="4" t="s">
        <v>7</v>
      </c>
      <c r="AG6" s="4" t="s">
        <v>7</v>
      </c>
      <c r="AH6" s="4" t="s">
        <v>7</v>
      </c>
      <c r="AI6" s="4" t="s">
        <v>7</v>
      </c>
      <c r="AJ6" s="4" t="s">
        <v>7</v>
      </c>
      <c r="AK6" s="4" t="s">
        <v>7</v>
      </c>
      <c r="AL6" s="4" t="s">
        <v>7</v>
      </c>
      <c r="AM6" s="4" t="s">
        <v>7</v>
      </c>
      <c r="AN6" s="4" t="s">
        <v>35</v>
      </c>
      <c r="AO6" s="4" t="s">
        <v>35</v>
      </c>
      <c r="AP6" s="4" t="s">
        <v>35</v>
      </c>
      <c r="AQ6" s="4" t="s">
        <v>7</v>
      </c>
      <c r="AR6" s="4" t="s">
        <v>7</v>
      </c>
      <c r="AS6" s="4" t="s">
        <v>35</v>
      </c>
      <c r="AT6" s="4" t="s">
        <v>35</v>
      </c>
      <c r="AU6" s="4" t="s">
        <v>35</v>
      </c>
      <c r="AV6" s="4" t="s">
        <v>35</v>
      </c>
      <c r="AW6" s="4" t="s">
        <v>35</v>
      </c>
      <c r="AX6" s="4" t="s">
        <v>35</v>
      </c>
      <c r="AY6" s="4" t="s">
        <v>7</v>
      </c>
      <c r="AZ6" s="4" t="s">
        <v>38</v>
      </c>
      <c r="BA6" s="4" t="s">
        <v>38</v>
      </c>
      <c r="BB6" s="4" t="s">
        <v>38</v>
      </c>
      <c r="BC6" s="4" t="s">
        <v>7</v>
      </c>
      <c r="BD6" s="4" t="s">
        <v>7</v>
      </c>
      <c r="BE6" s="4" t="s">
        <v>7</v>
      </c>
      <c r="BF6" s="4" t="s">
        <v>7</v>
      </c>
      <c r="BG6" s="4" t="s">
        <v>7</v>
      </c>
      <c r="BH6" s="4" t="s">
        <v>7</v>
      </c>
      <c r="BI6" s="4" t="s">
        <v>32</v>
      </c>
      <c r="BJ6" s="4" t="s">
        <v>42</v>
      </c>
      <c r="BK6" s="4" t="s">
        <v>7</v>
      </c>
      <c r="BL6" s="4" t="s">
        <v>7</v>
      </c>
      <c r="BM6" s="4" t="s">
        <v>7</v>
      </c>
      <c r="BN6" s="4" t="s">
        <v>32</v>
      </c>
      <c r="BO6" s="4" t="s">
        <v>7</v>
      </c>
      <c r="BP6" s="4" t="s">
        <v>35</v>
      </c>
      <c r="BQ6" s="4" t="s">
        <v>35</v>
      </c>
      <c r="BR6" s="4" t="s">
        <v>35</v>
      </c>
      <c r="BS6" s="4" t="s">
        <v>35</v>
      </c>
      <c r="BT6" s="4" t="s">
        <v>35</v>
      </c>
      <c r="BU6" s="4" t="s">
        <v>35</v>
      </c>
      <c r="BV6" s="4" t="s">
        <v>35</v>
      </c>
      <c r="BW6" s="4" t="s">
        <v>35</v>
      </c>
      <c r="BX6" s="4" t="s">
        <v>35</v>
      </c>
      <c r="BY6" s="4" t="s">
        <v>35</v>
      </c>
      <c r="BZ6" s="4" t="s">
        <v>35</v>
      </c>
      <c r="CA6" s="4" t="s">
        <v>35</v>
      </c>
      <c r="CB6" s="4" t="s">
        <v>35</v>
      </c>
      <c r="CC6" s="4" t="s">
        <v>35</v>
      </c>
      <c r="CD6" s="4" t="s">
        <v>35</v>
      </c>
      <c r="CE6" s="4" t="s">
        <v>35</v>
      </c>
      <c r="CF6" s="4" t="s">
        <v>35</v>
      </c>
      <c r="CG6" s="4" t="s">
        <v>34</v>
      </c>
      <c r="CH6" s="4" t="s">
        <v>34</v>
      </c>
      <c r="CI6" s="4" t="s">
        <v>34</v>
      </c>
      <c r="CJ6" s="4" t="s">
        <v>34</v>
      </c>
      <c r="CK6" s="4" t="s">
        <v>34</v>
      </c>
      <c r="CL6" s="4" t="s">
        <v>34</v>
      </c>
      <c r="CM6" s="4" t="s">
        <v>7</v>
      </c>
      <c r="CN6" s="4" t="s">
        <v>7</v>
      </c>
      <c r="CO6" s="4" t="s">
        <v>40</v>
      </c>
      <c r="CP6" s="4" t="s">
        <v>7</v>
      </c>
      <c r="CQ6" s="4" t="s">
        <v>7</v>
      </c>
      <c r="CR6" s="4" t="s">
        <v>7</v>
      </c>
      <c r="CS6" s="4" t="s">
        <v>40</v>
      </c>
      <c r="CT6" s="4" t="s">
        <v>7</v>
      </c>
      <c r="CU6" s="4" t="s">
        <v>32</v>
      </c>
      <c r="CV6" s="4" t="s">
        <v>7</v>
      </c>
      <c r="CW6" s="4" t="s">
        <v>7</v>
      </c>
      <c r="CX6" s="4" t="s">
        <v>40</v>
      </c>
      <c r="CY6" s="4" t="s">
        <v>32</v>
      </c>
      <c r="CZ6" s="4" t="s">
        <v>7</v>
      </c>
      <c r="DA6" s="4" t="s">
        <v>7</v>
      </c>
      <c r="DB6" s="4" t="s">
        <v>40</v>
      </c>
      <c r="DC6" s="4" t="s">
        <v>32</v>
      </c>
      <c r="DD6" s="4" t="s">
        <v>7</v>
      </c>
      <c r="DE6" s="4" t="s">
        <v>38</v>
      </c>
      <c r="DF6" s="4" t="s">
        <v>32</v>
      </c>
      <c r="DG6" s="4" t="s">
        <v>7</v>
      </c>
      <c r="DH6" s="4" t="s">
        <v>7</v>
      </c>
      <c r="DI6" s="4" t="s">
        <v>35</v>
      </c>
      <c r="DJ6" s="4" t="s">
        <v>35</v>
      </c>
      <c r="DK6" s="4" t="s">
        <v>35</v>
      </c>
      <c r="DL6" s="4" t="s">
        <v>35</v>
      </c>
      <c r="DM6" s="4" t="s">
        <v>35</v>
      </c>
      <c r="DN6" s="4" t="s">
        <v>35</v>
      </c>
      <c r="DO6" s="4" t="s">
        <v>35</v>
      </c>
      <c r="DP6" s="4" t="s">
        <v>35</v>
      </c>
      <c r="DQ6" s="4" t="s">
        <v>35</v>
      </c>
      <c r="DR6" s="4" t="s">
        <v>35</v>
      </c>
      <c r="DS6" s="4" t="s">
        <v>35</v>
      </c>
      <c r="DT6" s="4" t="s">
        <v>35</v>
      </c>
      <c r="DU6" s="4" t="s">
        <v>35</v>
      </c>
      <c r="DV6" s="4" t="s">
        <v>35</v>
      </c>
      <c r="DW6" s="4" t="s">
        <v>35</v>
      </c>
      <c r="DX6" s="4" t="s">
        <v>35</v>
      </c>
      <c r="DY6" s="4" t="s">
        <v>35</v>
      </c>
      <c r="DZ6" s="4" t="s">
        <v>34</v>
      </c>
      <c r="EA6" s="4" t="s">
        <v>34</v>
      </c>
      <c r="EB6" s="4" t="s">
        <v>34</v>
      </c>
      <c r="EC6" s="4" t="s">
        <v>7</v>
      </c>
      <c r="ED6" s="4" t="s">
        <v>7</v>
      </c>
      <c r="EE6" s="4" t="s">
        <v>40</v>
      </c>
      <c r="EF6" s="4" t="s">
        <v>32</v>
      </c>
      <c r="EG6" s="4" t="s">
        <v>32</v>
      </c>
      <c r="EH6" s="4" t="s">
        <v>7</v>
      </c>
      <c r="EI6" s="4" t="s">
        <v>40</v>
      </c>
      <c r="EJ6" s="4" t="s">
        <v>7</v>
      </c>
      <c r="EK6" s="4" t="s">
        <v>7</v>
      </c>
      <c r="EL6" s="4" t="s">
        <v>40</v>
      </c>
      <c r="EM6" s="4" t="s">
        <v>35</v>
      </c>
      <c r="EN6" s="4" t="s">
        <v>35</v>
      </c>
      <c r="EO6" s="4" t="s">
        <v>35</v>
      </c>
      <c r="EP6" s="4" t="s">
        <v>32</v>
      </c>
      <c r="EQ6" s="4" t="s">
        <v>32</v>
      </c>
      <c r="ER6" s="4" t="s">
        <v>32</v>
      </c>
      <c r="ES6" s="4" t="s">
        <v>34</v>
      </c>
      <c r="ET6" s="4" t="s">
        <v>34</v>
      </c>
      <c r="EU6" s="4" t="s">
        <v>34</v>
      </c>
      <c r="EV6" s="4" t="s">
        <v>7</v>
      </c>
      <c r="EW6" s="4" t="s">
        <v>7</v>
      </c>
      <c r="EX6" s="4" t="s">
        <v>7</v>
      </c>
      <c r="EY6" s="4" t="s">
        <v>7</v>
      </c>
      <c r="EZ6" s="4" t="s">
        <v>7</v>
      </c>
      <c r="FA6" s="4" t="s">
        <v>7</v>
      </c>
      <c r="FB6" s="4" t="s">
        <v>32</v>
      </c>
      <c r="FC6" s="4" t="s">
        <v>7</v>
      </c>
      <c r="FD6" s="4" t="s">
        <v>7</v>
      </c>
      <c r="FE6" s="4" t="s">
        <v>7</v>
      </c>
      <c r="FF6" s="4" t="s">
        <v>32</v>
      </c>
      <c r="FG6" s="4" t="s">
        <v>32</v>
      </c>
    </row>
    <row r="7" spans="1:163" x14ac:dyDescent="0.2">
      <c r="A7" s="2" t="s">
        <v>14</v>
      </c>
      <c r="B7" s="4">
        <f t="shared" si="2"/>
        <v>153</v>
      </c>
      <c r="C7" s="4">
        <f t="shared" si="3"/>
        <v>133</v>
      </c>
      <c r="D7" s="6">
        <f t="shared" si="4"/>
        <v>6</v>
      </c>
      <c r="E7" s="4">
        <f>COUNTIF(K7:VS7,"A")</f>
        <v>2</v>
      </c>
      <c r="F7" s="4">
        <f t="shared" si="1"/>
        <v>10</v>
      </c>
      <c r="G7" s="4">
        <f t="shared" si="5"/>
        <v>0</v>
      </c>
      <c r="H7" s="4">
        <f t="shared" si="6"/>
        <v>0</v>
      </c>
      <c r="I7" s="4">
        <f t="shared" si="7"/>
        <v>2</v>
      </c>
      <c r="J7" s="4">
        <f t="shared" si="8"/>
        <v>0</v>
      </c>
      <c r="K7" s="4" t="s">
        <v>32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35</v>
      </c>
      <c r="R7" s="4" t="s">
        <v>35</v>
      </c>
      <c r="S7" s="4" t="s">
        <v>35</v>
      </c>
      <c r="T7" s="4" t="s">
        <v>35</v>
      </c>
      <c r="U7" s="4" t="s">
        <v>35</v>
      </c>
      <c r="V7" s="4" t="s">
        <v>35</v>
      </c>
      <c r="W7" s="4" t="s">
        <v>35</v>
      </c>
      <c r="X7" s="4" t="s">
        <v>35</v>
      </c>
      <c r="Y7" s="4" t="s">
        <v>34</v>
      </c>
      <c r="Z7" s="4" t="s">
        <v>34</v>
      </c>
      <c r="AA7" s="4" t="s">
        <v>7</v>
      </c>
      <c r="AB7" s="4" t="s">
        <v>7</v>
      </c>
      <c r="AC7" s="4" t="s">
        <v>7</v>
      </c>
      <c r="AD7" s="4" t="s">
        <v>7</v>
      </c>
      <c r="AE7" s="4" t="s">
        <v>7</v>
      </c>
      <c r="AF7" s="4" t="s">
        <v>7</v>
      </c>
      <c r="AG7" s="4" t="s">
        <v>7</v>
      </c>
      <c r="AH7" s="4" t="s">
        <v>7</v>
      </c>
      <c r="AI7" s="4" t="s">
        <v>7</v>
      </c>
      <c r="AJ7" s="4" t="s">
        <v>7</v>
      </c>
      <c r="AK7" s="4" t="s">
        <v>7</v>
      </c>
      <c r="AL7" s="4" t="s">
        <v>7</v>
      </c>
      <c r="AM7" s="4" t="s">
        <v>7</v>
      </c>
      <c r="AN7" s="4" t="s">
        <v>7</v>
      </c>
      <c r="AO7" s="4" t="s">
        <v>7</v>
      </c>
      <c r="AP7" s="4" t="s">
        <v>7</v>
      </c>
      <c r="AQ7" s="4" t="s">
        <v>7</v>
      </c>
      <c r="AR7" s="4" t="s">
        <v>7</v>
      </c>
      <c r="AS7" s="4" t="s">
        <v>7</v>
      </c>
      <c r="AT7" s="4" t="s">
        <v>7</v>
      </c>
      <c r="AU7" s="4" t="s">
        <v>7</v>
      </c>
      <c r="AV7" s="4" t="s">
        <v>7</v>
      </c>
      <c r="AW7" s="4" t="s">
        <v>7</v>
      </c>
      <c r="AX7" s="4" t="s">
        <v>7</v>
      </c>
      <c r="AY7" s="4" t="s">
        <v>7</v>
      </c>
      <c r="AZ7" s="4" t="s">
        <v>7</v>
      </c>
      <c r="BA7" s="4" t="s">
        <v>7</v>
      </c>
      <c r="BB7" s="4" t="s">
        <v>7</v>
      </c>
      <c r="BC7" s="4" t="s">
        <v>7</v>
      </c>
      <c r="BD7" s="4" t="s">
        <v>7</v>
      </c>
      <c r="BE7" s="4" t="s">
        <v>7</v>
      </c>
      <c r="BF7" s="4" t="s">
        <v>7</v>
      </c>
      <c r="BG7" s="4" t="s">
        <v>7</v>
      </c>
      <c r="BH7" s="4" t="s">
        <v>7</v>
      </c>
      <c r="BI7" s="4" t="s">
        <v>7</v>
      </c>
      <c r="BJ7" s="4" t="s">
        <v>7</v>
      </c>
      <c r="BK7" s="4" t="s">
        <v>7</v>
      </c>
      <c r="BL7" s="4" t="s">
        <v>7</v>
      </c>
      <c r="BM7" s="4" t="s">
        <v>7</v>
      </c>
      <c r="BN7" s="4" t="s">
        <v>7</v>
      </c>
      <c r="BO7" s="4" t="s">
        <v>7</v>
      </c>
      <c r="BP7" s="4" t="s">
        <v>7</v>
      </c>
      <c r="BQ7" s="4" t="s">
        <v>7</v>
      </c>
      <c r="BR7" s="4" t="s">
        <v>7</v>
      </c>
      <c r="BS7" s="4" t="s">
        <v>7</v>
      </c>
      <c r="BT7" s="4" t="s">
        <v>7</v>
      </c>
      <c r="BU7" s="4" t="s">
        <v>42</v>
      </c>
      <c r="BV7" s="4" t="s">
        <v>7</v>
      </c>
      <c r="BW7" s="4" t="s">
        <v>7</v>
      </c>
      <c r="BX7" s="4" t="s">
        <v>7</v>
      </c>
      <c r="BY7" s="4" t="s">
        <v>7</v>
      </c>
      <c r="BZ7" s="4" t="s">
        <v>7</v>
      </c>
      <c r="CA7" s="4" t="s">
        <v>7</v>
      </c>
      <c r="CB7" s="4" t="s">
        <v>7</v>
      </c>
      <c r="CC7" s="4" t="s">
        <v>7</v>
      </c>
      <c r="CD7" s="4" t="s">
        <v>7</v>
      </c>
      <c r="CE7" s="4" t="s">
        <v>7</v>
      </c>
      <c r="CF7" s="4" t="s">
        <v>7</v>
      </c>
      <c r="CG7" s="4" t="s">
        <v>7</v>
      </c>
      <c r="CH7" s="4" t="s">
        <v>7</v>
      </c>
      <c r="CI7" s="4" t="s">
        <v>7</v>
      </c>
      <c r="CJ7" s="4" t="s">
        <v>7</v>
      </c>
      <c r="CK7" s="4" t="s">
        <v>7</v>
      </c>
      <c r="CL7" s="4" t="s">
        <v>7</v>
      </c>
      <c r="CM7" s="4" t="s">
        <v>7</v>
      </c>
      <c r="CN7" s="4" t="s">
        <v>7</v>
      </c>
      <c r="CO7" s="4" t="s">
        <v>7</v>
      </c>
      <c r="CP7" s="4" t="s">
        <v>7</v>
      </c>
      <c r="CQ7" s="4" t="s">
        <v>7</v>
      </c>
      <c r="CR7" s="4" t="s">
        <v>7</v>
      </c>
      <c r="CS7" s="4" t="s">
        <v>7</v>
      </c>
      <c r="CT7" s="4" t="s">
        <v>7</v>
      </c>
      <c r="CU7" s="4" t="s">
        <v>7</v>
      </c>
      <c r="CV7" s="4" t="s">
        <v>7</v>
      </c>
      <c r="CW7" s="4" t="s">
        <v>7</v>
      </c>
      <c r="CX7" s="4" t="s">
        <v>7</v>
      </c>
      <c r="CY7" s="4" t="s">
        <v>32</v>
      </c>
      <c r="CZ7" s="4" t="s">
        <v>7</v>
      </c>
      <c r="DA7" s="4" t="s">
        <v>7</v>
      </c>
      <c r="DB7" s="4" t="s">
        <v>7</v>
      </c>
      <c r="DC7" s="4" t="s">
        <v>7</v>
      </c>
      <c r="DD7" s="4" t="s">
        <v>7</v>
      </c>
      <c r="DE7" s="4" t="s">
        <v>7</v>
      </c>
      <c r="DF7" s="4" t="s">
        <v>7</v>
      </c>
      <c r="DG7" s="4" t="s">
        <v>7</v>
      </c>
      <c r="DH7" s="4" t="s">
        <v>7</v>
      </c>
      <c r="DI7" s="4" t="s">
        <v>7</v>
      </c>
      <c r="DJ7" s="4" t="s">
        <v>7</v>
      </c>
      <c r="DK7" s="4" t="s">
        <v>7</v>
      </c>
      <c r="DL7" s="4" t="s">
        <v>7</v>
      </c>
      <c r="DM7" s="4" t="s">
        <v>7</v>
      </c>
      <c r="DN7" s="4" t="s">
        <v>7</v>
      </c>
      <c r="DO7" s="4" t="s">
        <v>7</v>
      </c>
      <c r="DP7" s="4" t="s">
        <v>7</v>
      </c>
      <c r="DQ7" s="4" t="s">
        <v>7</v>
      </c>
      <c r="DR7" s="4" t="s">
        <v>7</v>
      </c>
      <c r="DS7" s="4" t="s">
        <v>7</v>
      </c>
      <c r="DT7" s="4" t="s">
        <v>7</v>
      </c>
      <c r="DU7" s="4" t="s">
        <v>7</v>
      </c>
      <c r="DV7" s="4" t="s">
        <v>7</v>
      </c>
      <c r="DW7" s="4" t="s">
        <v>7</v>
      </c>
      <c r="DX7" s="4" t="s">
        <v>7</v>
      </c>
      <c r="DY7" s="4" t="s">
        <v>7</v>
      </c>
      <c r="DZ7" s="4" t="s">
        <v>7</v>
      </c>
      <c r="EA7" s="4" t="s">
        <v>7</v>
      </c>
      <c r="EB7" s="4" t="s">
        <v>7</v>
      </c>
      <c r="EC7" s="4" t="s">
        <v>7</v>
      </c>
      <c r="ED7" s="4" t="s">
        <v>35</v>
      </c>
      <c r="EE7" s="4" t="s">
        <v>35</v>
      </c>
      <c r="EF7" s="4" t="s">
        <v>7</v>
      </c>
      <c r="EG7" s="4" t="s">
        <v>7</v>
      </c>
      <c r="EH7" s="4" t="s">
        <v>7</v>
      </c>
      <c r="EI7" s="4" t="s">
        <v>7</v>
      </c>
      <c r="EJ7" s="4" t="s">
        <v>7</v>
      </c>
      <c r="EK7" s="4" t="s">
        <v>7</v>
      </c>
      <c r="EL7" s="4" t="s">
        <v>7</v>
      </c>
      <c r="EM7" s="4" t="s">
        <v>7</v>
      </c>
      <c r="EN7" s="4" t="s">
        <v>7</v>
      </c>
      <c r="EO7" s="4" t="s">
        <v>7</v>
      </c>
      <c r="EP7" s="4" t="s">
        <v>7</v>
      </c>
      <c r="EQ7" s="4" t="s">
        <v>7</v>
      </c>
      <c r="ER7" s="4" t="s">
        <v>7</v>
      </c>
      <c r="ES7" s="4" t="s">
        <v>7</v>
      </c>
      <c r="ET7" s="4" t="s">
        <v>7</v>
      </c>
      <c r="EU7" s="4" t="s">
        <v>7</v>
      </c>
      <c r="EV7" s="4" t="s">
        <v>7</v>
      </c>
      <c r="EW7" s="4" t="s">
        <v>7</v>
      </c>
      <c r="EX7" s="4" t="s">
        <v>7</v>
      </c>
      <c r="EY7" s="4" t="s">
        <v>42</v>
      </c>
      <c r="EZ7" s="4" t="s">
        <v>42</v>
      </c>
      <c r="FA7" s="4" t="s">
        <v>42</v>
      </c>
      <c r="FB7" s="4" t="s">
        <v>7</v>
      </c>
      <c r="FC7" s="4" t="s">
        <v>7</v>
      </c>
      <c r="FD7" s="4" t="s">
        <v>7</v>
      </c>
      <c r="FE7" s="4" t="s">
        <v>7</v>
      </c>
      <c r="FF7" s="4" t="s">
        <v>42</v>
      </c>
      <c r="FG7" s="4" t="s">
        <v>42</v>
      </c>
    </row>
    <row r="8" spans="1:163" x14ac:dyDescent="0.2">
      <c r="A8" s="2" t="s">
        <v>15</v>
      </c>
      <c r="B8" s="4">
        <f t="shared" si="2"/>
        <v>153</v>
      </c>
      <c r="C8" s="4">
        <f t="shared" si="3"/>
        <v>85</v>
      </c>
      <c r="D8" s="6">
        <f t="shared" si="4"/>
        <v>1</v>
      </c>
      <c r="E8" s="4">
        <f t="shared" si="0"/>
        <v>0</v>
      </c>
      <c r="F8" s="4">
        <f t="shared" si="1"/>
        <v>51</v>
      </c>
      <c r="G8" s="4">
        <f t="shared" si="5"/>
        <v>1</v>
      </c>
      <c r="H8" s="4">
        <f t="shared" si="6"/>
        <v>9</v>
      </c>
      <c r="I8" s="4">
        <f t="shared" si="7"/>
        <v>6</v>
      </c>
      <c r="J8" s="4">
        <f t="shared" si="8"/>
        <v>0</v>
      </c>
      <c r="K8" s="4" t="s">
        <v>7</v>
      </c>
      <c r="L8" s="4" t="s">
        <v>7</v>
      </c>
      <c r="M8" s="4" t="s">
        <v>7</v>
      </c>
      <c r="N8" s="4" t="s">
        <v>7</v>
      </c>
      <c r="O8" s="4" t="s">
        <v>7</v>
      </c>
      <c r="P8" s="4" t="s">
        <v>7</v>
      </c>
      <c r="Q8" s="4" t="s">
        <v>7</v>
      </c>
      <c r="R8" s="4" t="s">
        <v>7</v>
      </c>
      <c r="S8" s="4" t="s">
        <v>7</v>
      </c>
      <c r="T8" s="4" t="s">
        <v>7</v>
      </c>
      <c r="U8" s="4" t="s">
        <v>7</v>
      </c>
      <c r="V8" s="4" t="s">
        <v>7</v>
      </c>
      <c r="W8" s="4" t="s">
        <v>7</v>
      </c>
      <c r="X8" s="4" t="s">
        <v>7</v>
      </c>
      <c r="Y8" s="4" t="s">
        <v>7</v>
      </c>
      <c r="Z8" s="4" t="s">
        <v>7</v>
      </c>
      <c r="AA8" s="4" t="s">
        <v>7</v>
      </c>
      <c r="AB8" s="4" t="s">
        <v>7</v>
      </c>
      <c r="AC8" s="4" t="s">
        <v>7</v>
      </c>
      <c r="AD8" s="4" t="s">
        <v>7</v>
      </c>
      <c r="AE8" s="4" t="s">
        <v>7</v>
      </c>
      <c r="AF8" s="4" t="s">
        <v>7</v>
      </c>
      <c r="AG8" s="4" t="s">
        <v>7</v>
      </c>
      <c r="AH8" s="4" t="s">
        <v>40</v>
      </c>
      <c r="AI8" s="4" t="s">
        <v>7</v>
      </c>
      <c r="AJ8" s="4" t="s">
        <v>7</v>
      </c>
      <c r="AK8" s="4" t="s">
        <v>7</v>
      </c>
      <c r="AL8" s="4" t="s">
        <v>40</v>
      </c>
      <c r="AM8" s="4" t="s">
        <v>7</v>
      </c>
      <c r="AN8" s="4" t="s">
        <v>7</v>
      </c>
      <c r="AO8" s="4" t="s">
        <v>7</v>
      </c>
      <c r="AP8" s="4" t="s">
        <v>7</v>
      </c>
      <c r="AQ8" s="4" t="s">
        <v>42</v>
      </c>
      <c r="AR8" s="4" t="s">
        <v>7</v>
      </c>
      <c r="AS8" s="4" t="s">
        <v>7</v>
      </c>
      <c r="AT8" s="4" t="s">
        <v>7</v>
      </c>
      <c r="AU8" s="4" t="s">
        <v>7</v>
      </c>
      <c r="AV8" s="4" t="s">
        <v>7</v>
      </c>
      <c r="AW8" s="4" t="s">
        <v>7</v>
      </c>
      <c r="AX8" s="4" t="s">
        <v>7</v>
      </c>
      <c r="AY8" s="4" t="s">
        <v>7</v>
      </c>
      <c r="AZ8" s="4" t="s">
        <v>7</v>
      </c>
      <c r="BA8" s="4" t="s">
        <v>7</v>
      </c>
      <c r="BB8" s="4" t="s">
        <v>7</v>
      </c>
      <c r="BC8" s="4" t="s">
        <v>7</v>
      </c>
      <c r="BD8" s="4" t="s">
        <v>7</v>
      </c>
      <c r="BE8" s="4" t="s">
        <v>7</v>
      </c>
      <c r="BF8" s="4" t="s">
        <v>40</v>
      </c>
      <c r="BG8" s="4" t="s">
        <v>35</v>
      </c>
      <c r="BH8" s="4" t="s">
        <v>35</v>
      </c>
      <c r="BI8" s="4" t="s">
        <v>35</v>
      </c>
      <c r="BJ8" s="4" t="s">
        <v>35</v>
      </c>
      <c r="BK8" s="4" t="s">
        <v>35</v>
      </c>
      <c r="BL8" s="4" t="s">
        <v>35</v>
      </c>
      <c r="BM8" s="4" t="s">
        <v>35</v>
      </c>
      <c r="BN8" s="4" t="s">
        <v>35</v>
      </c>
      <c r="BO8" s="4" t="s">
        <v>35</v>
      </c>
      <c r="BP8" s="4" t="s">
        <v>35</v>
      </c>
      <c r="BQ8" s="4" t="s">
        <v>35</v>
      </c>
      <c r="BR8" s="4" t="s">
        <v>35</v>
      </c>
      <c r="BS8" s="4" t="s">
        <v>35</v>
      </c>
      <c r="BT8" s="4" t="s">
        <v>35</v>
      </c>
      <c r="BU8" s="4" t="s">
        <v>35</v>
      </c>
      <c r="BV8" s="4" t="s">
        <v>34</v>
      </c>
      <c r="BW8" s="4" t="s">
        <v>34</v>
      </c>
      <c r="BX8" s="4" t="s">
        <v>34</v>
      </c>
      <c r="BY8" s="4" t="s">
        <v>7</v>
      </c>
      <c r="BZ8" s="4" t="s">
        <v>7</v>
      </c>
      <c r="CA8" s="4" t="s">
        <v>7</v>
      </c>
      <c r="CB8" s="4" t="s">
        <v>7</v>
      </c>
      <c r="CC8" s="4" t="s">
        <v>7</v>
      </c>
      <c r="CD8" s="4" t="s">
        <v>7</v>
      </c>
      <c r="CE8" s="4" t="s">
        <v>40</v>
      </c>
      <c r="CF8" s="4" t="s">
        <v>7</v>
      </c>
      <c r="CG8" s="4" t="s">
        <v>7</v>
      </c>
      <c r="CH8" s="4" t="s">
        <v>7</v>
      </c>
      <c r="CI8" s="4" t="s">
        <v>7</v>
      </c>
      <c r="CJ8" s="4" t="s">
        <v>7</v>
      </c>
      <c r="CK8" s="4" t="s">
        <v>7</v>
      </c>
      <c r="CL8" s="4" t="s">
        <v>7</v>
      </c>
      <c r="CM8" s="4" t="s">
        <v>7</v>
      </c>
      <c r="CN8" s="4" t="s">
        <v>7</v>
      </c>
      <c r="CO8" s="4" t="s">
        <v>40</v>
      </c>
      <c r="CP8" s="4" t="s">
        <v>7</v>
      </c>
      <c r="CQ8" s="4" t="s">
        <v>7</v>
      </c>
      <c r="CR8" s="4" t="s">
        <v>7</v>
      </c>
      <c r="CS8" s="4" t="s">
        <v>40</v>
      </c>
      <c r="CT8" s="4" t="s">
        <v>7</v>
      </c>
      <c r="CU8" s="4" t="s">
        <v>7</v>
      </c>
      <c r="CV8" s="4" t="s">
        <v>7</v>
      </c>
      <c r="CW8" s="4" t="s">
        <v>7</v>
      </c>
      <c r="CX8" s="4" t="s">
        <v>40</v>
      </c>
      <c r="CY8" s="4" t="s">
        <v>7</v>
      </c>
      <c r="CZ8" s="4" t="s">
        <v>7</v>
      </c>
      <c r="DA8" s="4" t="s">
        <v>7</v>
      </c>
      <c r="DB8" s="4" t="s">
        <v>40</v>
      </c>
      <c r="DC8" s="4" t="s">
        <v>7</v>
      </c>
      <c r="DD8" s="4" t="s">
        <v>7</v>
      </c>
      <c r="DE8" s="4" t="s">
        <v>7</v>
      </c>
      <c r="DF8" s="4" t="s">
        <v>7</v>
      </c>
      <c r="DG8" s="4" t="s">
        <v>7</v>
      </c>
      <c r="DH8" s="4" t="s">
        <v>7</v>
      </c>
      <c r="DI8" s="4" t="s">
        <v>7</v>
      </c>
      <c r="DJ8" s="4" t="s">
        <v>7</v>
      </c>
      <c r="DK8" s="4" t="s">
        <v>7</v>
      </c>
      <c r="DL8" s="4" t="s">
        <v>7</v>
      </c>
      <c r="DM8" s="4" t="s">
        <v>7</v>
      </c>
      <c r="DN8" s="4" t="s">
        <v>7</v>
      </c>
      <c r="DO8" s="4" t="s">
        <v>38</v>
      </c>
      <c r="DP8" s="4" t="s">
        <v>7</v>
      </c>
      <c r="DQ8" s="4" t="s">
        <v>40</v>
      </c>
      <c r="DR8" s="4" t="s">
        <v>35</v>
      </c>
      <c r="DS8" s="4" t="s">
        <v>35</v>
      </c>
      <c r="DT8" s="4" t="s">
        <v>35</v>
      </c>
      <c r="DU8" s="4" t="s">
        <v>35</v>
      </c>
      <c r="DV8" s="4" t="s">
        <v>35</v>
      </c>
      <c r="DW8" s="4" t="s">
        <v>35</v>
      </c>
      <c r="DX8" s="4" t="s">
        <v>35</v>
      </c>
      <c r="DY8" s="4" t="s">
        <v>35</v>
      </c>
      <c r="DZ8" s="4" t="s">
        <v>35</v>
      </c>
      <c r="EA8" s="4" t="s">
        <v>35</v>
      </c>
      <c r="EB8" s="4" t="s">
        <v>35</v>
      </c>
      <c r="EC8" s="4" t="s">
        <v>34</v>
      </c>
      <c r="ED8" s="4" t="s">
        <v>34</v>
      </c>
      <c r="EE8" s="4" t="s">
        <v>34</v>
      </c>
      <c r="EF8" s="4" t="s">
        <v>7</v>
      </c>
      <c r="EG8" s="4" t="s">
        <v>7</v>
      </c>
      <c r="EH8" s="4" t="s">
        <v>7</v>
      </c>
      <c r="EI8" s="4" t="s">
        <v>35</v>
      </c>
      <c r="EJ8" s="4" t="s">
        <v>35</v>
      </c>
      <c r="EK8" s="4" t="s">
        <v>35</v>
      </c>
      <c r="EL8" s="4" t="s">
        <v>35</v>
      </c>
      <c r="EM8" s="4" t="s">
        <v>35</v>
      </c>
      <c r="EN8" s="4" t="s">
        <v>35</v>
      </c>
      <c r="EO8" s="4" t="s">
        <v>35</v>
      </c>
      <c r="EP8" s="4" t="s">
        <v>35</v>
      </c>
      <c r="EQ8" s="4" t="s">
        <v>35</v>
      </c>
      <c r="ER8" s="4" t="s">
        <v>35</v>
      </c>
      <c r="ES8" s="4" t="s">
        <v>35</v>
      </c>
      <c r="ET8" s="4" t="s">
        <v>35</v>
      </c>
      <c r="EU8" s="4" t="s">
        <v>35</v>
      </c>
      <c r="EV8" s="4" t="s">
        <v>35</v>
      </c>
      <c r="EW8" s="4" t="s">
        <v>35</v>
      </c>
      <c r="EX8" s="4" t="s">
        <v>35</v>
      </c>
      <c r="EY8" s="4" t="s">
        <v>35</v>
      </c>
      <c r="EZ8" s="4" t="s">
        <v>35</v>
      </c>
      <c r="FA8" s="4" t="s">
        <v>35</v>
      </c>
      <c r="FB8" s="4" t="s">
        <v>35</v>
      </c>
      <c r="FC8" s="4" t="s">
        <v>35</v>
      </c>
      <c r="FD8" s="4" t="s">
        <v>35</v>
      </c>
      <c r="FE8" s="4" t="s">
        <v>35</v>
      </c>
      <c r="FF8" s="4" t="s">
        <v>35</v>
      </c>
      <c r="FG8" s="4" t="s">
        <v>35</v>
      </c>
    </row>
    <row r="9" spans="1:163" x14ac:dyDescent="0.2">
      <c r="A9" s="2" t="s">
        <v>16</v>
      </c>
      <c r="B9" s="4">
        <f t="shared" si="2"/>
        <v>153</v>
      </c>
      <c r="C9" s="4">
        <f t="shared" si="3"/>
        <v>147</v>
      </c>
      <c r="D9" s="6">
        <f t="shared" si="4"/>
        <v>0</v>
      </c>
      <c r="E9" s="4">
        <f t="shared" si="0"/>
        <v>0</v>
      </c>
      <c r="F9" s="4">
        <f t="shared" si="1"/>
        <v>0</v>
      </c>
      <c r="G9" s="4">
        <f t="shared" si="5"/>
        <v>4</v>
      </c>
      <c r="H9" s="4">
        <f t="shared" si="6"/>
        <v>0</v>
      </c>
      <c r="I9" s="4">
        <f t="shared" si="7"/>
        <v>2</v>
      </c>
      <c r="J9" s="4">
        <f t="shared" si="8"/>
        <v>0</v>
      </c>
      <c r="K9" s="4" t="s">
        <v>7</v>
      </c>
      <c r="L9" s="4" t="s">
        <v>7</v>
      </c>
      <c r="M9" s="4" t="s">
        <v>7</v>
      </c>
      <c r="N9" s="4" t="s">
        <v>7</v>
      </c>
      <c r="O9" s="4" t="s">
        <v>7</v>
      </c>
      <c r="P9" s="4" t="s">
        <v>7</v>
      </c>
      <c r="Q9" s="4" t="s">
        <v>7</v>
      </c>
      <c r="R9" s="4" t="s">
        <v>7</v>
      </c>
      <c r="S9" s="4" t="s">
        <v>7</v>
      </c>
      <c r="T9" s="4" t="s">
        <v>7</v>
      </c>
      <c r="U9" s="4" t="s">
        <v>7</v>
      </c>
      <c r="V9" s="4" t="s">
        <v>7</v>
      </c>
      <c r="W9" s="4" t="s">
        <v>7</v>
      </c>
      <c r="X9" s="4" t="s">
        <v>7</v>
      </c>
      <c r="Y9" s="4" t="s">
        <v>7</v>
      </c>
      <c r="Z9" s="4" t="s">
        <v>7</v>
      </c>
      <c r="AA9" s="4" t="s">
        <v>7</v>
      </c>
      <c r="AB9" s="4" t="s">
        <v>7</v>
      </c>
      <c r="AC9" s="4" t="s">
        <v>7</v>
      </c>
      <c r="AD9" s="4" t="s">
        <v>7</v>
      </c>
      <c r="AE9" s="4" t="s">
        <v>7</v>
      </c>
      <c r="AF9" s="4" t="s">
        <v>7</v>
      </c>
      <c r="AG9" s="4" t="s">
        <v>7</v>
      </c>
      <c r="AH9" s="4" t="s">
        <v>7</v>
      </c>
      <c r="AI9" s="4" t="s">
        <v>7</v>
      </c>
      <c r="AJ9" s="4" t="s">
        <v>7</v>
      </c>
      <c r="AK9" s="4" t="s">
        <v>7</v>
      </c>
      <c r="AL9" s="4" t="s">
        <v>7</v>
      </c>
      <c r="AM9" s="4" t="s">
        <v>7</v>
      </c>
      <c r="AN9" s="4" t="s">
        <v>7</v>
      </c>
      <c r="AO9" s="4" t="s">
        <v>7</v>
      </c>
      <c r="AP9" s="4" t="s">
        <v>7</v>
      </c>
      <c r="AQ9" s="4" t="s">
        <v>7</v>
      </c>
      <c r="AR9" s="4" t="s">
        <v>7</v>
      </c>
      <c r="AS9" s="4" t="s">
        <v>7</v>
      </c>
      <c r="AT9" s="4" t="s">
        <v>7</v>
      </c>
      <c r="AU9" s="4" t="s">
        <v>7</v>
      </c>
      <c r="AV9" s="4" t="s">
        <v>7</v>
      </c>
      <c r="AW9" s="4" t="s">
        <v>7</v>
      </c>
      <c r="AX9" s="4" t="s">
        <v>7</v>
      </c>
      <c r="AY9" s="4" t="s">
        <v>7</v>
      </c>
      <c r="AZ9" s="4" t="s">
        <v>38</v>
      </c>
      <c r="BA9" s="4" t="s">
        <v>7</v>
      </c>
      <c r="BB9" s="4" t="s">
        <v>7</v>
      </c>
      <c r="BC9" s="4" t="s">
        <v>7</v>
      </c>
      <c r="BD9" s="4" t="s">
        <v>7</v>
      </c>
      <c r="BE9" s="4" t="s">
        <v>7</v>
      </c>
      <c r="BF9" s="4" t="s">
        <v>7</v>
      </c>
      <c r="BG9" s="4" t="s">
        <v>7</v>
      </c>
      <c r="BH9" s="4" t="s">
        <v>7</v>
      </c>
      <c r="BI9" s="4" t="s">
        <v>7</v>
      </c>
      <c r="BJ9" s="4" t="s">
        <v>7</v>
      </c>
      <c r="BK9" s="4" t="s">
        <v>7</v>
      </c>
      <c r="BL9" s="4" t="s">
        <v>7</v>
      </c>
      <c r="BM9" s="4" t="s">
        <v>7</v>
      </c>
      <c r="BN9" s="4" t="s">
        <v>7</v>
      </c>
      <c r="BO9" s="4" t="s">
        <v>7</v>
      </c>
      <c r="BP9" s="4" t="s">
        <v>7</v>
      </c>
      <c r="BQ9" s="4" t="s">
        <v>7</v>
      </c>
      <c r="BR9" s="4" t="s">
        <v>7</v>
      </c>
      <c r="BS9" s="4" t="s">
        <v>7</v>
      </c>
      <c r="BT9" s="4" t="s">
        <v>7</v>
      </c>
      <c r="BU9" s="4" t="s">
        <v>7</v>
      </c>
      <c r="BV9" s="4" t="s">
        <v>38</v>
      </c>
      <c r="BW9" s="4" t="s">
        <v>7</v>
      </c>
      <c r="BX9" s="4" t="s">
        <v>7</v>
      </c>
      <c r="BY9" s="4" t="s">
        <v>7</v>
      </c>
      <c r="BZ9" s="4" t="s">
        <v>7</v>
      </c>
      <c r="CA9" s="4" t="s">
        <v>7</v>
      </c>
      <c r="CB9" s="4" t="s">
        <v>7</v>
      </c>
      <c r="CC9" s="4" t="s">
        <v>7</v>
      </c>
      <c r="CD9" s="4" t="s">
        <v>7</v>
      </c>
      <c r="CE9" s="4" t="s">
        <v>7</v>
      </c>
      <c r="CF9" s="4" t="s">
        <v>7</v>
      </c>
      <c r="CG9" s="4" t="s">
        <v>7</v>
      </c>
      <c r="CH9" s="4" t="s">
        <v>7</v>
      </c>
      <c r="CI9" s="4" t="s">
        <v>7</v>
      </c>
      <c r="CJ9" s="4" t="s">
        <v>7</v>
      </c>
      <c r="CK9" s="4" t="s">
        <v>7</v>
      </c>
      <c r="CL9" s="4" t="s">
        <v>7</v>
      </c>
      <c r="CM9" s="4" t="s">
        <v>7</v>
      </c>
      <c r="CN9" s="4" t="s">
        <v>7</v>
      </c>
      <c r="CO9" s="4" t="s">
        <v>7</v>
      </c>
      <c r="CP9" s="4" t="s">
        <v>7</v>
      </c>
      <c r="CQ9" s="4" t="s">
        <v>7</v>
      </c>
      <c r="CR9" s="4" t="s">
        <v>7</v>
      </c>
      <c r="CS9" s="4" t="s">
        <v>7</v>
      </c>
      <c r="CT9" s="4" t="s">
        <v>7</v>
      </c>
      <c r="CU9" s="4" t="s">
        <v>38</v>
      </c>
      <c r="CV9" s="4" t="s">
        <v>38</v>
      </c>
      <c r="CW9" s="4" t="s">
        <v>34</v>
      </c>
      <c r="CX9" s="4" t="s">
        <v>34</v>
      </c>
      <c r="CY9" s="4" t="s">
        <v>7</v>
      </c>
      <c r="CZ9" s="4" t="s">
        <v>7</v>
      </c>
      <c r="DA9" s="4" t="s">
        <v>7</v>
      </c>
      <c r="DB9" s="4" t="s">
        <v>7</v>
      </c>
      <c r="DC9" s="4" t="s">
        <v>7</v>
      </c>
      <c r="DD9" s="4" t="s">
        <v>7</v>
      </c>
      <c r="DE9" s="4" t="s">
        <v>7</v>
      </c>
      <c r="DF9" s="4" t="s">
        <v>7</v>
      </c>
      <c r="DG9" s="4" t="s">
        <v>7</v>
      </c>
      <c r="DH9" s="4" t="s">
        <v>7</v>
      </c>
      <c r="DI9" s="4" t="s">
        <v>7</v>
      </c>
      <c r="DJ9" s="4" t="s">
        <v>7</v>
      </c>
      <c r="DK9" s="4" t="s">
        <v>7</v>
      </c>
      <c r="DL9" s="4" t="s">
        <v>7</v>
      </c>
      <c r="DM9" s="4" t="s">
        <v>7</v>
      </c>
      <c r="DN9" s="4" t="s">
        <v>7</v>
      </c>
      <c r="DO9" s="4" t="s">
        <v>7</v>
      </c>
      <c r="DP9" s="4" t="s">
        <v>7</v>
      </c>
      <c r="DQ9" s="4" t="s">
        <v>7</v>
      </c>
      <c r="DR9" s="4" t="s">
        <v>7</v>
      </c>
      <c r="DS9" s="4" t="s">
        <v>7</v>
      </c>
      <c r="DT9" s="4" t="s">
        <v>7</v>
      </c>
      <c r="DU9" s="4" t="s">
        <v>7</v>
      </c>
      <c r="DV9" s="4" t="s">
        <v>7</v>
      </c>
      <c r="DW9" s="4" t="s">
        <v>7</v>
      </c>
      <c r="DX9" s="4" t="s">
        <v>7</v>
      </c>
      <c r="DY9" s="4" t="s">
        <v>7</v>
      </c>
      <c r="DZ9" s="4" t="s">
        <v>7</v>
      </c>
      <c r="EA9" s="4" t="s">
        <v>7</v>
      </c>
      <c r="EB9" s="4" t="s">
        <v>7</v>
      </c>
      <c r="EC9" s="4" t="s">
        <v>7</v>
      </c>
      <c r="ED9" s="4" t="s">
        <v>7</v>
      </c>
      <c r="EE9" s="4" t="s">
        <v>7</v>
      </c>
      <c r="EF9" s="4" t="s">
        <v>7</v>
      </c>
      <c r="EG9" s="4" t="s">
        <v>7</v>
      </c>
      <c r="EH9" s="4" t="s">
        <v>7</v>
      </c>
      <c r="EI9" s="4" t="s">
        <v>7</v>
      </c>
      <c r="EJ9" s="4" t="s">
        <v>7</v>
      </c>
      <c r="EK9" s="4" t="s">
        <v>7</v>
      </c>
      <c r="EL9" s="4" t="s">
        <v>7</v>
      </c>
      <c r="EM9" s="4" t="s">
        <v>7</v>
      </c>
      <c r="EN9" s="4" t="s">
        <v>7</v>
      </c>
      <c r="EO9" s="4" t="s">
        <v>7</v>
      </c>
      <c r="EP9" s="4" t="s">
        <v>7</v>
      </c>
      <c r="EQ9" s="4" t="s">
        <v>7</v>
      </c>
      <c r="ER9" s="4" t="s">
        <v>7</v>
      </c>
      <c r="ES9" s="4" t="s">
        <v>7</v>
      </c>
      <c r="ET9" s="4" t="s">
        <v>7</v>
      </c>
      <c r="EU9" s="4" t="s">
        <v>7</v>
      </c>
      <c r="EV9" s="4" t="s">
        <v>7</v>
      </c>
      <c r="EW9" s="4" t="s">
        <v>7</v>
      </c>
      <c r="EX9" s="4" t="s">
        <v>7</v>
      </c>
      <c r="EY9" s="4" t="s">
        <v>7</v>
      </c>
      <c r="EZ9" s="4" t="s">
        <v>7</v>
      </c>
      <c r="FA9" s="4" t="s">
        <v>7</v>
      </c>
      <c r="FB9" s="4" t="s">
        <v>7</v>
      </c>
      <c r="FC9" s="4" t="s">
        <v>7</v>
      </c>
      <c r="FD9" s="4" t="s">
        <v>7</v>
      </c>
      <c r="FE9" s="4" t="s">
        <v>7</v>
      </c>
      <c r="FF9" s="4" t="s">
        <v>7</v>
      </c>
      <c r="FG9" s="4" t="s">
        <v>7</v>
      </c>
    </row>
    <row r="10" spans="1:163" x14ac:dyDescent="0.2">
      <c r="A10" s="2" t="s">
        <v>17</v>
      </c>
      <c r="B10" s="4">
        <f t="shared" si="2"/>
        <v>153</v>
      </c>
      <c r="C10" s="4">
        <f t="shared" si="3"/>
        <v>129</v>
      </c>
      <c r="D10" s="6">
        <f t="shared" si="4"/>
        <v>5</v>
      </c>
      <c r="E10" s="4">
        <f t="shared" si="0"/>
        <v>0</v>
      </c>
      <c r="F10" s="4">
        <f t="shared" si="1"/>
        <v>14</v>
      </c>
      <c r="G10" s="4">
        <f t="shared" si="5"/>
        <v>0</v>
      </c>
      <c r="H10" s="4">
        <f t="shared" si="6"/>
        <v>0</v>
      </c>
      <c r="I10" s="4">
        <f t="shared" si="7"/>
        <v>5</v>
      </c>
      <c r="J10" s="4">
        <f t="shared" si="8"/>
        <v>0</v>
      </c>
      <c r="K10" s="4" t="s">
        <v>7</v>
      </c>
      <c r="L10" s="4" t="s">
        <v>7</v>
      </c>
      <c r="M10" s="4" t="s">
        <v>7</v>
      </c>
      <c r="N10" s="4" t="s">
        <v>7</v>
      </c>
      <c r="O10" s="4" t="s">
        <v>7</v>
      </c>
      <c r="P10" s="4" t="s">
        <v>7</v>
      </c>
      <c r="Q10" s="4" t="s">
        <v>7</v>
      </c>
      <c r="R10" s="4" t="s">
        <v>7</v>
      </c>
      <c r="S10" s="4" t="s">
        <v>7</v>
      </c>
      <c r="T10" s="4" t="s">
        <v>7</v>
      </c>
      <c r="U10" s="4" t="s">
        <v>7</v>
      </c>
      <c r="V10" s="4" t="s">
        <v>7</v>
      </c>
      <c r="W10" s="4" t="s">
        <v>7</v>
      </c>
      <c r="X10" s="4" t="s">
        <v>7</v>
      </c>
      <c r="Y10" s="4" t="s">
        <v>7</v>
      </c>
      <c r="Z10" s="4" t="s">
        <v>7</v>
      </c>
      <c r="AA10" s="4" t="s">
        <v>7</v>
      </c>
      <c r="AB10" s="4" t="s">
        <v>7</v>
      </c>
      <c r="AC10" s="4" t="s">
        <v>7</v>
      </c>
      <c r="AD10" s="4" t="s">
        <v>7</v>
      </c>
      <c r="AE10" s="4" t="s">
        <v>7</v>
      </c>
      <c r="AF10" s="4" t="s">
        <v>7</v>
      </c>
      <c r="AG10" s="4" t="s">
        <v>7</v>
      </c>
      <c r="AH10" s="4" t="s">
        <v>7</v>
      </c>
      <c r="AI10" s="4" t="s">
        <v>7</v>
      </c>
      <c r="AJ10" s="4" t="s">
        <v>7</v>
      </c>
      <c r="AK10" s="4" t="s">
        <v>34</v>
      </c>
      <c r="AL10" s="4" t="s">
        <v>7</v>
      </c>
      <c r="AM10" s="4" t="s">
        <v>35</v>
      </c>
      <c r="AN10" s="4" t="s">
        <v>35</v>
      </c>
      <c r="AO10" s="4" t="s">
        <v>35</v>
      </c>
      <c r="AP10" s="4" t="s">
        <v>35</v>
      </c>
      <c r="AQ10" s="4" t="s">
        <v>35</v>
      </c>
      <c r="AR10" s="4" t="s">
        <v>35</v>
      </c>
      <c r="AS10" s="4" t="s">
        <v>35</v>
      </c>
      <c r="AT10" s="4" t="s">
        <v>35</v>
      </c>
      <c r="AU10" s="4" t="s">
        <v>35</v>
      </c>
      <c r="AV10" s="4" t="s">
        <v>35</v>
      </c>
      <c r="AW10" s="4" t="s">
        <v>35</v>
      </c>
      <c r="AX10" s="4" t="s">
        <v>35</v>
      </c>
      <c r="AY10" s="4" t="s">
        <v>35</v>
      </c>
      <c r="AZ10" s="4" t="s">
        <v>34</v>
      </c>
      <c r="BA10" s="4" t="s">
        <v>34</v>
      </c>
      <c r="BB10" s="4" t="s">
        <v>34</v>
      </c>
      <c r="BC10" s="4" t="s">
        <v>7</v>
      </c>
      <c r="BD10" s="4" t="s">
        <v>7</v>
      </c>
      <c r="BE10" s="4" t="s">
        <v>7</v>
      </c>
      <c r="BF10" s="4" t="s">
        <v>7</v>
      </c>
      <c r="BG10" s="4" t="s">
        <v>7</v>
      </c>
      <c r="BH10" s="4" t="s">
        <v>7</v>
      </c>
      <c r="BI10" s="4" t="s">
        <v>7</v>
      </c>
      <c r="BJ10" s="4" t="s">
        <v>7</v>
      </c>
      <c r="BK10" s="4" t="s">
        <v>7</v>
      </c>
      <c r="BL10" s="4" t="s">
        <v>7</v>
      </c>
      <c r="BM10" s="4" t="s">
        <v>7</v>
      </c>
      <c r="BN10" s="4" t="s">
        <v>7</v>
      </c>
      <c r="BO10" s="4" t="s">
        <v>7</v>
      </c>
      <c r="BP10" s="4" t="s">
        <v>7</v>
      </c>
      <c r="BQ10" s="4" t="s">
        <v>7</v>
      </c>
      <c r="BR10" s="4" t="s">
        <v>7</v>
      </c>
      <c r="BS10" s="4" t="s">
        <v>7</v>
      </c>
      <c r="BT10" s="4" t="s">
        <v>7</v>
      </c>
      <c r="BU10" s="4" t="s">
        <v>7</v>
      </c>
      <c r="BV10" s="4" t="s">
        <v>7</v>
      </c>
      <c r="BW10" s="4" t="s">
        <v>7</v>
      </c>
      <c r="BX10" s="4" t="s">
        <v>7</v>
      </c>
      <c r="BY10" s="4" t="s">
        <v>7</v>
      </c>
      <c r="BZ10" s="4" t="s">
        <v>7</v>
      </c>
      <c r="CA10" s="4" t="s">
        <v>7</v>
      </c>
      <c r="CB10" s="4" t="s">
        <v>7</v>
      </c>
      <c r="CC10" s="4" t="s">
        <v>7</v>
      </c>
      <c r="CD10" s="4" t="s">
        <v>7</v>
      </c>
      <c r="CE10" s="4" t="s">
        <v>7</v>
      </c>
      <c r="CF10" s="4" t="s">
        <v>7</v>
      </c>
      <c r="CG10" s="4" t="s">
        <v>7</v>
      </c>
      <c r="CH10" s="4" t="s">
        <v>7</v>
      </c>
      <c r="CI10" s="4" t="s">
        <v>7</v>
      </c>
      <c r="CJ10" s="4" t="s">
        <v>7</v>
      </c>
      <c r="CK10" s="4" t="s">
        <v>7</v>
      </c>
      <c r="CL10" s="4" t="s">
        <v>7</v>
      </c>
      <c r="CM10" s="4" t="s">
        <v>7</v>
      </c>
      <c r="CN10" s="4" t="s">
        <v>7</v>
      </c>
      <c r="CO10" s="4" t="s">
        <v>7</v>
      </c>
      <c r="CP10" s="4" t="s">
        <v>7</v>
      </c>
      <c r="CQ10" s="4" t="s">
        <v>7</v>
      </c>
      <c r="CR10" s="4" t="s">
        <v>7</v>
      </c>
      <c r="CS10" s="4" t="s">
        <v>7</v>
      </c>
      <c r="CT10" s="4" t="s">
        <v>34</v>
      </c>
      <c r="CU10" s="4" t="s">
        <v>7</v>
      </c>
      <c r="CV10" s="4" t="s">
        <v>7</v>
      </c>
      <c r="CW10" s="4" t="s">
        <v>7</v>
      </c>
      <c r="CX10" s="4" t="s">
        <v>7</v>
      </c>
      <c r="CY10" s="4" t="s">
        <v>7</v>
      </c>
      <c r="CZ10" s="4" t="s">
        <v>7</v>
      </c>
      <c r="DA10" s="4" t="s">
        <v>7</v>
      </c>
      <c r="DB10" s="4" t="s">
        <v>7</v>
      </c>
      <c r="DC10" s="4" t="s">
        <v>7</v>
      </c>
      <c r="DD10" s="4" t="s">
        <v>7</v>
      </c>
      <c r="DE10" s="4" t="s">
        <v>7</v>
      </c>
      <c r="DF10" s="4" t="s">
        <v>7</v>
      </c>
      <c r="DG10" s="4" t="s">
        <v>7</v>
      </c>
      <c r="DH10" s="4" t="s">
        <v>7</v>
      </c>
      <c r="DI10" s="4" t="s">
        <v>7</v>
      </c>
      <c r="DJ10" s="4" t="s">
        <v>7</v>
      </c>
      <c r="DK10" s="4" t="s">
        <v>7</v>
      </c>
      <c r="DL10" s="4" t="s">
        <v>7</v>
      </c>
      <c r="DM10" s="4" t="s">
        <v>7</v>
      </c>
      <c r="DN10" s="4" t="s">
        <v>7</v>
      </c>
      <c r="DO10" s="4" t="s">
        <v>7</v>
      </c>
      <c r="DP10" s="4" t="s">
        <v>7</v>
      </c>
      <c r="DQ10" s="4" t="s">
        <v>7</v>
      </c>
      <c r="DR10" s="4" t="s">
        <v>35</v>
      </c>
      <c r="DS10" s="4" t="s">
        <v>7</v>
      </c>
      <c r="DT10" s="4" t="s">
        <v>7</v>
      </c>
      <c r="DU10" s="4" t="s">
        <v>7</v>
      </c>
      <c r="DV10" s="4" t="s">
        <v>7</v>
      </c>
      <c r="DW10" s="4" t="s">
        <v>7</v>
      </c>
      <c r="DX10" s="4" t="s">
        <v>7</v>
      </c>
      <c r="DY10" s="4" t="s">
        <v>7</v>
      </c>
      <c r="DZ10" s="4" t="s">
        <v>7</v>
      </c>
      <c r="EA10" s="4" t="s">
        <v>7</v>
      </c>
      <c r="EB10" s="4" t="s">
        <v>7</v>
      </c>
      <c r="EC10" s="4" t="s">
        <v>7</v>
      </c>
      <c r="ED10" s="4" t="s">
        <v>7</v>
      </c>
      <c r="EE10" s="4" t="s">
        <v>7</v>
      </c>
      <c r="EF10" s="4" t="s">
        <v>7</v>
      </c>
      <c r="EG10" s="4" t="s">
        <v>7</v>
      </c>
      <c r="EH10" s="4" t="s">
        <v>7</v>
      </c>
      <c r="EI10" s="4" t="s">
        <v>7</v>
      </c>
      <c r="EJ10" s="4" t="s">
        <v>7</v>
      </c>
      <c r="EK10" s="4" t="s">
        <v>7</v>
      </c>
      <c r="EL10" s="4" t="s">
        <v>7</v>
      </c>
      <c r="EM10" s="4" t="s">
        <v>7</v>
      </c>
      <c r="EN10" s="4" t="s">
        <v>7</v>
      </c>
      <c r="EO10" s="4" t="s">
        <v>7</v>
      </c>
      <c r="EP10" s="4" t="s">
        <v>7</v>
      </c>
      <c r="EQ10" s="4" t="s">
        <v>7</v>
      </c>
      <c r="ER10" s="4" t="s">
        <v>7</v>
      </c>
      <c r="ES10" s="4" t="s">
        <v>7</v>
      </c>
      <c r="ET10" s="4" t="s">
        <v>7</v>
      </c>
      <c r="EU10" s="4" t="s">
        <v>7</v>
      </c>
      <c r="EV10" s="4" t="s">
        <v>7</v>
      </c>
      <c r="EW10" s="4" t="s">
        <v>42</v>
      </c>
      <c r="EX10" s="4" t="s">
        <v>42</v>
      </c>
      <c r="EY10" s="4" t="s">
        <v>42</v>
      </c>
      <c r="EZ10" s="4" t="s">
        <v>42</v>
      </c>
      <c r="FA10" s="4" t="s">
        <v>42</v>
      </c>
      <c r="FB10" s="4" t="s">
        <v>7</v>
      </c>
      <c r="FC10" s="4" t="s">
        <v>7</v>
      </c>
      <c r="FD10" s="4" t="s">
        <v>7</v>
      </c>
      <c r="FE10" s="4" t="s">
        <v>7</v>
      </c>
      <c r="FF10" s="4" t="s">
        <v>7</v>
      </c>
      <c r="FG10" s="4" t="s">
        <v>7</v>
      </c>
    </row>
    <row r="11" spans="1:163" x14ac:dyDescent="0.2">
      <c r="A11" s="2" t="s">
        <v>18</v>
      </c>
      <c r="B11" s="4">
        <f t="shared" si="2"/>
        <v>153</v>
      </c>
      <c r="C11" s="4">
        <f t="shared" si="3"/>
        <v>141</v>
      </c>
      <c r="D11" s="6">
        <f t="shared" si="4"/>
        <v>1</v>
      </c>
      <c r="E11" s="4">
        <f t="shared" si="0"/>
        <v>0</v>
      </c>
      <c r="F11" s="4">
        <f t="shared" si="1"/>
        <v>9</v>
      </c>
      <c r="G11" s="4">
        <f t="shared" si="5"/>
        <v>1</v>
      </c>
      <c r="H11" s="4">
        <f t="shared" si="6"/>
        <v>0</v>
      </c>
      <c r="I11" s="4">
        <f t="shared" si="7"/>
        <v>1</v>
      </c>
      <c r="J11" s="4">
        <f t="shared" si="8"/>
        <v>0</v>
      </c>
      <c r="K11" s="4" t="s">
        <v>7</v>
      </c>
      <c r="L11" s="4" t="s">
        <v>7</v>
      </c>
      <c r="M11" s="4" t="s">
        <v>7</v>
      </c>
      <c r="N11" s="4" t="s">
        <v>7</v>
      </c>
      <c r="O11" s="4" t="s">
        <v>7</v>
      </c>
      <c r="P11" s="4" t="s">
        <v>7</v>
      </c>
      <c r="Q11" s="4" t="s">
        <v>7</v>
      </c>
      <c r="R11" s="4" t="s">
        <v>7</v>
      </c>
      <c r="S11" s="4" t="s">
        <v>7</v>
      </c>
      <c r="T11" s="4" t="s">
        <v>7</v>
      </c>
      <c r="U11" s="4" t="s">
        <v>7</v>
      </c>
      <c r="V11" s="4" t="s">
        <v>7</v>
      </c>
      <c r="W11" s="4" t="s">
        <v>7</v>
      </c>
      <c r="X11" s="4" t="s">
        <v>7</v>
      </c>
      <c r="Y11" s="4" t="s">
        <v>7</v>
      </c>
      <c r="Z11" s="4" t="s">
        <v>7</v>
      </c>
      <c r="AA11" s="4" t="s">
        <v>7</v>
      </c>
      <c r="AB11" s="4" t="s">
        <v>7</v>
      </c>
      <c r="AC11" s="4" t="s">
        <v>7</v>
      </c>
      <c r="AD11" s="4" t="s">
        <v>7</v>
      </c>
      <c r="AE11" s="4" t="s">
        <v>7</v>
      </c>
      <c r="AF11" s="4" t="s">
        <v>7</v>
      </c>
      <c r="AG11" s="4" t="s">
        <v>7</v>
      </c>
      <c r="AH11" s="4" t="s">
        <v>7</v>
      </c>
      <c r="AI11" s="4" t="s">
        <v>7</v>
      </c>
      <c r="AJ11" s="4" t="s">
        <v>7</v>
      </c>
      <c r="AK11" s="4" t="s">
        <v>7</v>
      </c>
      <c r="AL11" s="4" t="s">
        <v>7</v>
      </c>
      <c r="AM11" s="4" t="s">
        <v>7</v>
      </c>
      <c r="AN11" s="4" t="s">
        <v>7</v>
      </c>
      <c r="AO11" s="4" t="s">
        <v>34</v>
      </c>
      <c r="AP11" s="4" t="s">
        <v>7</v>
      </c>
      <c r="AQ11" s="4" t="s">
        <v>7</v>
      </c>
      <c r="AR11" s="4" t="s">
        <v>7</v>
      </c>
      <c r="AS11" s="4" t="s">
        <v>7</v>
      </c>
      <c r="AT11" s="4" t="s">
        <v>7</v>
      </c>
      <c r="AU11" s="4" t="s">
        <v>7</v>
      </c>
      <c r="AV11" s="4" t="s">
        <v>7</v>
      </c>
      <c r="AW11" s="4" t="s">
        <v>42</v>
      </c>
      <c r="AX11" s="4" t="s">
        <v>7</v>
      </c>
      <c r="AY11" s="4" t="s">
        <v>35</v>
      </c>
      <c r="AZ11" s="4" t="s">
        <v>35</v>
      </c>
      <c r="BA11" s="4" t="s">
        <v>35</v>
      </c>
      <c r="BB11" s="4" t="s">
        <v>35</v>
      </c>
      <c r="BC11" s="4" t="s">
        <v>7</v>
      </c>
      <c r="BD11" s="4" t="s">
        <v>7</v>
      </c>
      <c r="BE11" s="4" t="s">
        <v>7</v>
      </c>
      <c r="BF11" s="4" t="s">
        <v>7</v>
      </c>
      <c r="BG11" s="4" t="s">
        <v>7</v>
      </c>
      <c r="BH11" s="4" t="s">
        <v>7</v>
      </c>
      <c r="BI11" s="4" t="s">
        <v>7</v>
      </c>
      <c r="BJ11" s="4" t="s">
        <v>7</v>
      </c>
      <c r="BK11" s="4" t="s">
        <v>7</v>
      </c>
      <c r="BL11" s="4" t="s">
        <v>7</v>
      </c>
      <c r="BM11" s="4" t="s">
        <v>7</v>
      </c>
      <c r="BN11" s="4" t="s">
        <v>7</v>
      </c>
      <c r="BO11" s="4" t="s">
        <v>7</v>
      </c>
      <c r="BP11" s="4" t="s">
        <v>7</v>
      </c>
      <c r="BQ11" s="4" t="s">
        <v>7</v>
      </c>
      <c r="BR11" s="4" t="s">
        <v>7</v>
      </c>
      <c r="BS11" s="4" t="s">
        <v>7</v>
      </c>
      <c r="BT11" s="4" t="s">
        <v>7</v>
      </c>
      <c r="BU11" s="4" t="s">
        <v>7</v>
      </c>
      <c r="BV11" s="4" t="s">
        <v>7</v>
      </c>
      <c r="BW11" s="4" t="s">
        <v>7</v>
      </c>
      <c r="BX11" s="4" t="s">
        <v>7</v>
      </c>
      <c r="BY11" s="4" t="s">
        <v>7</v>
      </c>
      <c r="BZ11" s="4" t="s">
        <v>7</v>
      </c>
      <c r="CA11" s="4" t="s">
        <v>7</v>
      </c>
      <c r="CB11" s="4" t="s">
        <v>7</v>
      </c>
      <c r="CC11" s="4" t="s">
        <v>7</v>
      </c>
      <c r="CD11" s="4" t="s">
        <v>7</v>
      </c>
      <c r="CE11" s="4" t="s">
        <v>7</v>
      </c>
      <c r="CF11" s="4" t="s">
        <v>7</v>
      </c>
      <c r="CG11" s="4" t="s">
        <v>7</v>
      </c>
      <c r="CH11" s="4" t="s">
        <v>7</v>
      </c>
      <c r="CI11" s="4" t="s">
        <v>7</v>
      </c>
      <c r="CJ11" s="4" t="s">
        <v>7</v>
      </c>
      <c r="CK11" s="4" t="s">
        <v>7</v>
      </c>
      <c r="CL11" s="4" t="s">
        <v>7</v>
      </c>
      <c r="CM11" s="4" t="s">
        <v>7</v>
      </c>
      <c r="CN11" s="4" t="s">
        <v>7</v>
      </c>
      <c r="CO11" s="4" t="s">
        <v>7</v>
      </c>
      <c r="CP11" s="4" t="s">
        <v>7</v>
      </c>
      <c r="CQ11" s="4" t="s">
        <v>7</v>
      </c>
      <c r="CR11" s="4" t="s">
        <v>7</v>
      </c>
      <c r="CS11" s="4" t="s">
        <v>7</v>
      </c>
      <c r="CT11" s="4" t="s">
        <v>7</v>
      </c>
      <c r="CU11" s="4" t="s">
        <v>7</v>
      </c>
      <c r="CV11" s="4" t="s">
        <v>7</v>
      </c>
      <c r="CW11" s="4" t="s">
        <v>7</v>
      </c>
      <c r="CX11" s="4" t="s">
        <v>7</v>
      </c>
      <c r="CY11" s="4" t="s">
        <v>7</v>
      </c>
      <c r="CZ11" s="4" t="s">
        <v>7</v>
      </c>
      <c r="DA11" s="4" t="s">
        <v>7</v>
      </c>
      <c r="DB11" s="4" t="s">
        <v>7</v>
      </c>
      <c r="DC11" s="4" t="s">
        <v>7</v>
      </c>
      <c r="DD11" s="4" t="s">
        <v>7</v>
      </c>
      <c r="DE11" s="4" t="s">
        <v>7</v>
      </c>
      <c r="DF11" s="4" t="s">
        <v>7</v>
      </c>
      <c r="DG11" s="4" t="s">
        <v>7</v>
      </c>
      <c r="DH11" s="4" t="s">
        <v>7</v>
      </c>
      <c r="DI11" s="4" t="s">
        <v>35</v>
      </c>
      <c r="DJ11" s="4" t="s">
        <v>7</v>
      </c>
      <c r="DK11" s="4" t="s">
        <v>7</v>
      </c>
      <c r="DL11" s="4" t="s">
        <v>7</v>
      </c>
      <c r="DM11" s="4" t="s">
        <v>7</v>
      </c>
      <c r="DN11" s="4" t="s">
        <v>7</v>
      </c>
      <c r="DO11" s="4" t="s">
        <v>7</v>
      </c>
      <c r="DP11" s="4" t="s">
        <v>7</v>
      </c>
      <c r="DQ11" s="4" t="s">
        <v>7</v>
      </c>
      <c r="DR11" s="4" t="s">
        <v>7</v>
      </c>
      <c r="DS11" s="4" t="s">
        <v>7</v>
      </c>
      <c r="DT11" s="4" t="s">
        <v>7</v>
      </c>
      <c r="DU11" s="4" t="s">
        <v>7</v>
      </c>
      <c r="DV11" s="4" t="s">
        <v>7</v>
      </c>
      <c r="DW11" s="4" t="s">
        <v>7</v>
      </c>
      <c r="DX11" s="4" t="s">
        <v>7</v>
      </c>
      <c r="DY11" s="4" t="s">
        <v>7</v>
      </c>
      <c r="DZ11" s="4" t="s">
        <v>7</v>
      </c>
      <c r="EA11" s="4" t="s">
        <v>7</v>
      </c>
      <c r="EB11" s="4" t="s">
        <v>7</v>
      </c>
      <c r="EC11" s="4" t="s">
        <v>7</v>
      </c>
      <c r="ED11" s="4" t="s">
        <v>7</v>
      </c>
      <c r="EE11" s="4" t="s">
        <v>7</v>
      </c>
      <c r="EF11" s="4" t="s">
        <v>7</v>
      </c>
      <c r="EG11" s="4" t="s">
        <v>7</v>
      </c>
      <c r="EH11" s="4" t="s">
        <v>7</v>
      </c>
      <c r="EI11" s="4" t="s">
        <v>7</v>
      </c>
      <c r="EJ11" s="4" t="s">
        <v>7</v>
      </c>
      <c r="EK11" s="4" t="s">
        <v>7</v>
      </c>
      <c r="EL11" s="4" t="s">
        <v>7</v>
      </c>
      <c r="EM11" s="4" t="s">
        <v>35</v>
      </c>
      <c r="EN11" s="4" t="s">
        <v>35</v>
      </c>
      <c r="EO11" s="4" t="s">
        <v>35</v>
      </c>
      <c r="EP11" s="4" t="s">
        <v>35</v>
      </c>
      <c r="EQ11" s="4" t="s">
        <v>7</v>
      </c>
      <c r="ER11" s="4" t="s">
        <v>7</v>
      </c>
      <c r="ES11" s="4" t="s">
        <v>7</v>
      </c>
      <c r="ET11" s="4" t="s">
        <v>7</v>
      </c>
      <c r="EU11" s="4" t="s">
        <v>7</v>
      </c>
      <c r="EV11" s="4" t="s">
        <v>7</v>
      </c>
      <c r="EW11" s="4" t="s">
        <v>7</v>
      </c>
      <c r="EX11" s="4" t="s">
        <v>7</v>
      </c>
      <c r="EY11" s="4" t="s">
        <v>7</v>
      </c>
      <c r="EZ11" s="4" t="s">
        <v>7</v>
      </c>
      <c r="FA11" s="4" t="s">
        <v>7</v>
      </c>
      <c r="FB11" s="4" t="s">
        <v>7</v>
      </c>
      <c r="FC11" s="4" t="s">
        <v>7</v>
      </c>
      <c r="FD11" s="4" t="s">
        <v>7</v>
      </c>
      <c r="FE11" s="4" t="s">
        <v>7</v>
      </c>
      <c r="FF11" s="4" t="s">
        <v>38</v>
      </c>
      <c r="FG11" s="4" t="s">
        <v>7</v>
      </c>
    </row>
    <row r="12" spans="1:163" x14ac:dyDescent="0.2">
      <c r="A12" s="2" t="s">
        <v>19</v>
      </c>
      <c r="B12" s="4">
        <f t="shared" si="2"/>
        <v>40</v>
      </c>
      <c r="C12" s="4">
        <f t="shared" si="3"/>
        <v>39</v>
      </c>
      <c r="D12" s="6">
        <f t="shared" si="4"/>
        <v>0</v>
      </c>
      <c r="E12" s="4">
        <f t="shared" si="0"/>
        <v>1</v>
      </c>
      <c r="F12" s="4">
        <f t="shared" si="1"/>
        <v>0</v>
      </c>
      <c r="G12" s="4">
        <f t="shared" si="5"/>
        <v>0</v>
      </c>
      <c r="H12" s="4">
        <f t="shared" si="6"/>
        <v>0</v>
      </c>
      <c r="I12" s="4">
        <f t="shared" si="7"/>
        <v>0</v>
      </c>
      <c r="J12" s="4">
        <f t="shared" si="8"/>
        <v>0</v>
      </c>
      <c r="K12" s="4" t="s">
        <v>7</v>
      </c>
      <c r="L12" s="4" t="s">
        <v>7</v>
      </c>
      <c r="M12" s="4" t="s">
        <v>7</v>
      </c>
      <c r="N12" s="4" t="s">
        <v>7</v>
      </c>
      <c r="O12" s="4" t="s">
        <v>7</v>
      </c>
      <c r="P12" s="4" t="s">
        <v>7</v>
      </c>
      <c r="Q12" s="4" t="s">
        <v>7</v>
      </c>
      <c r="R12" s="4" t="s">
        <v>7</v>
      </c>
      <c r="S12" s="4" t="s">
        <v>7</v>
      </c>
      <c r="T12" s="4" t="s">
        <v>7</v>
      </c>
      <c r="U12" s="4" t="s">
        <v>7</v>
      </c>
      <c r="V12" s="4" t="s">
        <v>7</v>
      </c>
      <c r="W12" s="4" t="s">
        <v>7</v>
      </c>
      <c r="X12" s="4" t="s">
        <v>7</v>
      </c>
      <c r="Y12" s="4" t="s">
        <v>7</v>
      </c>
      <c r="Z12" s="4" t="s">
        <v>7</v>
      </c>
      <c r="AA12" s="4" t="s">
        <v>7</v>
      </c>
      <c r="AB12" s="4" t="s">
        <v>7</v>
      </c>
      <c r="AC12" s="4" t="s">
        <v>7</v>
      </c>
      <c r="AD12" s="4" t="s">
        <v>7</v>
      </c>
      <c r="AE12" s="4" t="s">
        <v>7</v>
      </c>
      <c r="AF12" s="4" t="s">
        <v>7</v>
      </c>
      <c r="AG12" s="4" t="s">
        <v>7</v>
      </c>
      <c r="AH12" s="4" t="s">
        <v>7</v>
      </c>
      <c r="AI12" s="4" t="s">
        <v>7</v>
      </c>
      <c r="AJ12" s="4" t="s">
        <v>7</v>
      </c>
      <c r="AK12" s="4" t="s">
        <v>7</v>
      </c>
      <c r="AL12" s="4" t="s">
        <v>7</v>
      </c>
      <c r="AM12" s="4" t="s">
        <v>32</v>
      </c>
      <c r="AN12" s="4" t="s">
        <v>7</v>
      </c>
      <c r="AO12" s="4" t="s">
        <v>7</v>
      </c>
      <c r="AP12" s="4" t="s">
        <v>7</v>
      </c>
      <c r="AQ12" s="4" t="s">
        <v>7</v>
      </c>
      <c r="AR12" s="4" t="s">
        <v>7</v>
      </c>
      <c r="AS12" s="4" t="s">
        <v>7</v>
      </c>
      <c r="AT12" s="4" t="s">
        <v>7</v>
      </c>
      <c r="AU12" s="4" t="s">
        <v>7</v>
      </c>
      <c r="AV12" s="4" t="s">
        <v>7</v>
      </c>
      <c r="AW12" s="4" t="s">
        <v>7</v>
      </c>
      <c r="AX12" s="4" t="s">
        <v>7</v>
      </c>
    </row>
    <row r="13" spans="1:163" x14ac:dyDescent="0.2">
      <c r="A13" s="2" t="s">
        <v>20</v>
      </c>
      <c r="B13" s="4">
        <f t="shared" si="2"/>
        <v>153</v>
      </c>
      <c r="C13" s="4">
        <f t="shared" si="3"/>
        <v>24</v>
      </c>
      <c r="D13" s="6">
        <f t="shared" si="4"/>
        <v>3</v>
      </c>
      <c r="E13" s="4">
        <f t="shared" si="0"/>
        <v>1</v>
      </c>
      <c r="F13" s="4">
        <f t="shared" si="1"/>
        <v>104</v>
      </c>
      <c r="G13" s="4">
        <f t="shared" si="5"/>
        <v>0</v>
      </c>
      <c r="H13" s="4">
        <f t="shared" si="6"/>
        <v>0</v>
      </c>
      <c r="I13" s="4">
        <f t="shared" si="7"/>
        <v>21</v>
      </c>
      <c r="J13" s="4">
        <f t="shared" si="8"/>
        <v>0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7</v>
      </c>
      <c r="U13" s="4" t="s">
        <v>7</v>
      </c>
      <c r="V13" s="4" t="s">
        <v>7</v>
      </c>
      <c r="W13" s="4" t="s">
        <v>7</v>
      </c>
      <c r="X13" s="4" t="s">
        <v>7</v>
      </c>
      <c r="Y13" s="4" t="s">
        <v>7</v>
      </c>
      <c r="Z13" s="4" t="s">
        <v>34</v>
      </c>
      <c r="AA13" s="4" t="s">
        <v>7</v>
      </c>
      <c r="AB13" s="4" t="s">
        <v>7</v>
      </c>
      <c r="AC13" s="4" t="s">
        <v>7</v>
      </c>
      <c r="AD13" s="4" t="s">
        <v>7</v>
      </c>
      <c r="AE13" s="4" t="s">
        <v>35</v>
      </c>
      <c r="AF13" s="4" t="s">
        <v>35</v>
      </c>
      <c r="AG13" s="4" t="s">
        <v>34</v>
      </c>
      <c r="AH13" s="4" t="s">
        <v>7</v>
      </c>
      <c r="AI13" s="4" t="s">
        <v>7</v>
      </c>
      <c r="AJ13" s="4" t="s">
        <v>7</v>
      </c>
      <c r="AK13" s="4" t="s">
        <v>32</v>
      </c>
      <c r="AL13" s="4" t="s">
        <v>7</v>
      </c>
      <c r="AM13" s="4" t="s">
        <v>7</v>
      </c>
      <c r="AN13" s="4" t="s">
        <v>7</v>
      </c>
      <c r="AO13" s="4" t="s">
        <v>34</v>
      </c>
      <c r="AP13" s="4" t="s">
        <v>7</v>
      </c>
      <c r="AQ13" s="4" t="s">
        <v>35</v>
      </c>
      <c r="AR13" s="4" t="s">
        <v>35</v>
      </c>
      <c r="AS13" s="4" t="s">
        <v>35</v>
      </c>
      <c r="AT13" s="4" t="s">
        <v>35</v>
      </c>
      <c r="AU13" s="4" t="s">
        <v>35</v>
      </c>
      <c r="AV13" s="4" t="s">
        <v>35</v>
      </c>
      <c r="AW13" s="4" t="s">
        <v>35</v>
      </c>
      <c r="AX13" s="4" t="s">
        <v>35</v>
      </c>
      <c r="AY13" s="4" t="s">
        <v>35</v>
      </c>
      <c r="AZ13" s="4" t="s">
        <v>35</v>
      </c>
      <c r="BA13" s="4" t="s">
        <v>35</v>
      </c>
      <c r="BB13" s="4" t="s">
        <v>35</v>
      </c>
      <c r="BC13" s="4" t="s">
        <v>35</v>
      </c>
      <c r="BD13" s="4" t="s">
        <v>35</v>
      </c>
      <c r="BE13" s="4" t="s">
        <v>35</v>
      </c>
      <c r="BF13" s="4" t="s">
        <v>35</v>
      </c>
      <c r="BG13" s="4" t="s">
        <v>35</v>
      </c>
      <c r="BH13" s="4" t="s">
        <v>35</v>
      </c>
      <c r="BI13" s="4" t="s">
        <v>35</v>
      </c>
      <c r="BJ13" s="4" t="s">
        <v>35</v>
      </c>
      <c r="BK13" s="4" t="s">
        <v>35</v>
      </c>
      <c r="BL13" s="4" t="s">
        <v>35</v>
      </c>
      <c r="BM13" s="4" t="s">
        <v>35</v>
      </c>
      <c r="BN13" s="4" t="s">
        <v>35</v>
      </c>
      <c r="BO13" s="4" t="s">
        <v>35</v>
      </c>
      <c r="BP13" s="4" t="s">
        <v>35</v>
      </c>
      <c r="BQ13" s="4" t="s">
        <v>35</v>
      </c>
      <c r="BR13" s="4" t="s">
        <v>35</v>
      </c>
      <c r="BS13" s="4" t="s">
        <v>35</v>
      </c>
      <c r="BT13" s="4" t="s">
        <v>35</v>
      </c>
      <c r="BU13" s="4" t="s">
        <v>35</v>
      </c>
      <c r="BV13" s="4" t="s">
        <v>35</v>
      </c>
      <c r="BW13" s="4" t="s">
        <v>35</v>
      </c>
      <c r="BX13" s="4" t="s">
        <v>35</v>
      </c>
      <c r="BY13" s="4" t="s">
        <v>35</v>
      </c>
      <c r="BZ13" s="4" t="s">
        <v>35</v>
      </c>
      <c r="CA13" s="4" t="s">
        <v>35</v>
      </c>
      <c r="CB13" s="4" t="s">
        <v>35</v>
      </c>
      <c r="CC13" s="4" t="s">
        <v>35</v>
      </c>
      <c r="CD13" s="4" t="s">
        <v>35</v>
      </c>
      <c r="CE13" s="4" t="s">
        <v>35</v>
      </c>
      <c r="CF13" s="4" t="s">
        <v>35</v>
      </c>
      <c r="CG13" s="4" t="s">
        <v>35</v>
      </c>
      <c r="CH13" s="4" t="s">
        <v>35</v>
      </c>
      <c r="CI13" s="4" t="s">
        <v>35</v>
      </c>
      <c r="CJ13" s="4" t="s">
        <v>35</v>
      </c>
      <c r="CK13" s="4" t="s">
        <v>35</v>
      </c>
      <c r="CL13" s="4" t="s">
        <v>35</v>
      </c>
      <c r="CM13" s="4" t="s">
        <v>35</v>
      </c>
      <c r="CN13" s="4" t="s">
        <v>35</v>
      </c>
      <c r="CO13" s="4" t="s">
        <v>35</v>
      </c>
      <c r="CP13" s="4" t="s">
        <v>35</v>
      </c>
      <c r="CQ13" s="4" t="s">
        <v>35</v>
      </c>
      <c r="CR13" s="4" t="s">
        <v>35</v>
      </c>
      <c r="CS13" s="4" t="s">
        <v>35</v>
      </c>
      <c r="CT13" s="4" t="s">
        <v>35</v>
      </c>
      <c r="CU13" s="4" t="s">
        <v>35</v>
      </c>
      <c r="CV13" s="4" t="s">
        <v>35</v>
      </c>
      <c r="CW13" s="4" t="s">
        <v>35</v>
      </c>
      <c r="CX13" s="4" t="s">
        <v>35</v>
      </c>
      <c r="CY13" s="4" t="s">
        <v>35</v>
      </c>
      <c r="CZ13" s="4" t="s">
        <v>35</v>
      </c>
      <c r="DA13" s="4" t="s">
        <v>35</v>
      </c>
      <c r="DB13" s="4" t="s">
        <v>35</v>
      </c>
      <c r="DC13" s="4" t="s">
        <v>35</v>
      </c>
      <c r="DD13" s="4" t="s">
        <v>34</v>
      </c>
      <c r="DE13" s="4" t="s">
        <v>34</v>
      </c>
      <c r="DF13" s="4" t="s">
        <v>34</v>
      </c>
      <c r="DG13" s="4" t="s">
        <v>34</v>
      </c>
      <c r="DH13" s="4" t="s">
        <v>34</v>
      </c>
      <c r="DI13" s="4" t="s">
        <v>34</v>
      </c>
      <c r="DJ13" s="4" t="s">
        <v>34</v>
      </c>
      <c r="DK13" s="4" t="s">
        <v>7</v>
      </c>
      <c r="DL13" s="4" t="s">
        <v>7</v>
      </c>
      <c r="DM13" s="4" t="s">
        <v>42</v>
      </c>
      <c r="DN13" s="4" t="s">
        <v>7</v>
      </c>
      <c r="DO13" s="4" t="s">
        <v>42</v>
      </c>
      <c r="DP13" s="4" t="s">
        <v>34</v>
      </c>
      <c r="DQ13" s="4" t="s">
        <v>34</v>
      </c>
      <c r="DR13" s="4" t="s">
        <v>35</v>
      </c>
      <c r="DS13" s="4" t="s">
        <v>35</v>
      </c>
      <c r="DT13" s="4" t="s">
        <v>35</v>
      </c>
      <c r="DU13" s="4" t="s">
        <v>35</v>
      </c>
      <c r="DV13" s="4" t="s">
        <v>35</v>
      </c>
      <c r="DW13" s="4" t="s">
        <v>35</v>
      </c>
      <c r="DX13" s="4" t="s">
        <v>35</v>
      </c>
      <c r="DY13" s="4" t="s">
        <v>35</v>
      </c>
      <c r="DZ13" s="4" t="s">
        <v>35</v>
      </c>
      <c r="EA13" s="4" t="s">
        <v>35</v>
      </c>
      <c r="EB13" s="4" t="s">
        <v>35</v>
      </c>
      <c r="EC13" s="4" t="s">
        <v>35</v>
      </c>
      <c r="ED13" s="4" t="s">
        <v>35</v>
      </c>
      <c r="EE13" s="4" t="s">
        <v>35</v>
      </c>
      <c r="EF13" s="4" t="s">
        <v>35</v>
      </c>
      <c r="EG13" s="4" t="s">
        <v>35</v>
      </c>
      <c r="EH13" s="4" t="s">
        <v>35</v>
      </c>
      <c r="EI13" s="4" t="s">
        <v>35</v>
      </c>
      <c r="EJ13" s="4" t="s">
        <v>35</v>
      </c>
      <c r="EK13" s="4" t="s">
        <v>35</v>
      </c>
      <c r="EL13" s="4" t="s">
        <v>35</v>
      </c>
      <c r="EM13" s="4" t="s">
        <v>35</v>
      </c>
      <c r="EN13" s="4" t="s">
        <v>35</v>
      </c>
      <c r="EO13" s="4" t="s">
        <v>35</v>
      </c>
      <c r="EP13" s="4" t="s">
        <v>7</v>
      </c>
      <c r="EQ13" s="4" t="s">
        <v>7</v>
      </c>
      <c r="ER13" s="4" t="s">
        <v>42</v>
      </c>
      <c r="ES13" s="4" t="s">
        <v>7</v>
      </c>
      <c r="ET13" s="4" t="s">
        <v>35</v>
      </c>
      <c r="EU13" s="4" t="s">
        <v>35</v>
      </c>
      <c r="EV13" s="4" t="s">
        <v>7</v>
      </c>
      <c r="EW13" s="4" t="s">
        <v>35</v>
      </c>
      <c r="EX13" s="4" t="s">
        <v>35</v>
      </c>
      <c r="EY13" s="4" t="s">
        <v>35</v>
      </c>
      <c r="EZ13" s="4" t="s">
        <v>35</v>
      </c>
      <c r="FA13" s="4" t="s">
        <v>35</v>
      </c>
      <c r="FB13" s="4" t="s">
        <v>35</v>
      </c>
      <c r="FC13" s="4" t="s">
        <v>35</v>
      </c>
      <c r="FD13" s="4" t="s">
        <v>35</v>
      </c>
      <c r="FE13" s="4" t="s">
        <v>35</v>
      </c>
      <c r="FF13" s="4" t="s">
        <v>35</v>
      </c>
      <c r="FG13" s="4" t="s">
        <v>35</v>
      </c>
    </row>
    <row r="14" spans="1:163" x14ac:dyDescent="0.2">
      <c r="A14" s="2" t="s">
        <v>21</v>
      </c>
      <c r="B14" s="4">
        <f t="shared" si="2"/>
        <v>153</v>
      </c>
      <c r="C14" s="4">
        <f t="shared" si="3"/>
        <v>152</v>
      </c>
      <c r="D14" s="6">
        <f t="shared" si="4"/>
        <v>0</v>
      </c>
      <c r="E14" s="4">
        <f t="shared" si="0"/>
        <v>0</v>
      </c>
      <c r="F14" s="4">
        <f t="shared" si="1"/>
        <v>0</v>
      </c>
      <c r="G14" s="4">
        <f t="shared" si="5"/>
        <v>1</v>
      </c>
      <c r="H14" s="4">
        <f t="shared" si="6"/>
        <v>0</v>
      </c>
      <c r="I14" s="4">
        <f t="shared" si="7"/>
        <v>0</v>
      </c>
      <c r="J14" s="4">
        <f t="shared" si="8"/>
        <v>0</v>
      </c>
      <c r="K14" s="4" t="s">
        <v>7</v>
      </c>
      <c r="L14" s="4" t="s">
        <v>7</v>
      </c>
      <c r="M14" s="4" t="s">
        <v>7</v>
      </c>
      <c r="N14" s="4" t="s">
        <v>7</v>
      </c>
      <c r="O14" s="4" t="s">
        <v>7</v>
      </c>
      <c r="P14" s="4" t="s">
        <v>7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7</v>
      </c>
      <c r="Y14" s="4" t="s">
        <v>7</v>
      </c>
      <c r="Z14" s="4" t="s">
        <v>7</v>
      </c>
      <c r="AA14" s="4" t="s">
        <v>7</v>
      </c>
      <c r="AB14" s="4" t="s">
        <v>7</v>
      </c>
      <c r="AC14" s="4" t="s">
        <v>7</v>
      </c>
      <c r="AD14" s="4" t="s">
        <v>7</v>
      </c>
      <c r="AE14" s="4" t="s">
        <v>7</v>
      </c>
      <c r="AF14" s="4" t="s">
        <v>7</v>
      </c>
      <c r="AG14" s="4" t="s">
        <v>7</v>
      </c>
      <c r="AH14" s="4" t="s">
        <v>7</v>
      </c>
      <c r="AI14" s="4" t="s">
        <v>7</v>
      </c>
      <c r="AJ14" s="4" t="s">
        <v>7</v>
      </c>
      <c r="AK14" s="4" t="s">
        <v>7</v>
      </c>
      <c r="AL14" s="4" t="s">
        <v>7</v>
      </c>
      <c r="AM14" s="4" t="s">
        <v>7</v>
      </c>
      <c r="AN14" s="4" t="s">
        <v>7</v>
      </c>
      <c r="AO14" s="4" t="s">
        <v>7</v>
      </c>
      <c r="AP14" s="4" t="s">
        <v>7</v>
      </c>
      <c r="AQ14" s="4" t="s">
        <v>7</v>
      </c>
      <c r="AR14" s="4" t="s">
        <v>7</v>
      </c>
      <c r="AS14" s="4" t="s">
        <v>7</v>
      </c>
      <c r="AT14" s="4" t="s">
        <v>7</v>
      </c>
      <c r="AU14" s="4" t="s">
        <v>7</v>
      </c>
      <c r="AV14" s="4" t="s">
        <v>7</v>
      </c>
      <c r="AW14" s="4" t="s">
        <v>7</v>
      </c>
      <c r="AX14" s="4" t="s">
        <v>7</v>
      </c>
      <c r="AY14" s="4" t="s">
        <v>7</v>
      </c>
      <c r="AZ14" s="4" t="s">
        <v>7</v>
      </c>
      <c r="BA14" s="4" t="s">
        <v>7</v>
      </c>
      <c r="BB14" s="4" t="s">
        <v>7</v>
      </c>
      <c r="BC14" s="4" t="s">
        <v>7</v>
      </c>
      <c r="BD14" s="4" t="s">
        <v>7</v>
      </c>
      <c r="BE14" s="4" t="s">
        <v>7</v>
      </c>
      <c r="BF14" s="4" t="s">
        <v>7</v>
      </c>
      <c r="BG14" s="4" t="s">
        <v>7</v>
      </c>
      <c r="BH14" s="4" t="s">
        <v>7</v>
      </c>
      <c r="BI14" s="4" t="s">
        <v>7</v>
      </c>
      <c r="BJ14" s="4" t="s">
        <v>7</v>
      </c>
      <c r="BK14" s="4" t="s">
        <v>7</v>
      </c>
      <c r="BL14" s="4" t="s">
        <v>7</v>
      </c>
      <c r="BM14" s="4" t="s">
        <v>7</v>
      </c>
      <c r="BN14" s="4" t="s">
        <v>7</v>
      </c>
      <c r="BO14" s="4" t="s">
        <v>7</v>
      </c>
      <c r="BP14" s="4" t="s">
        <v>7</v>
      </c>
      <c r="BQ14" s="4" t="s">
        <v>7</v>
      </c>
      <c r="BR14" s="4" t="s">
        <v>7</v>
      </c>
      <c r="BS14" s="4" t="s">
        <v>7</v>
      </c>
      <c r="BT14" s="4" t="s">
        <v>7</v>
      </c>
      <c r="BU14" s="4" t="s">
        <v>7</v>
      </c>
      <c r="BV14" s="4" t="s">
        <v>7</v>
      </c>
      <c r="BW14" s="4" t="s">
        <v>7</v>
      </c>
      <c r="BX14" s="4" t="s">
        <v>38</v>
      </c>
      <c r="BY14" s="4" t="s">
        <v>7</v>
      </c>
      <c r="BZ14" s="4" t="s">
        <v>7</v>
      </c>
      <c r="CA14" s="4" t="s">
        <v>7</v>
      </c>
      <c r="CB14" s="4" t="s">
        <v>7</v>
      </c>
      <c r="CC14" s="4" t="s">
        <v>7</v>
      </c>
      <c r="CD14" s="4" t="s">
        <v>7</v>
      </c>
      <c r="CE14" s="4" t="s">
        <v>7</v>
      </c>
      <c r="CF14" s="4" t="s">
        <v>7</v>
      </c>
      <c r="CG14" s="4" t="s">
        <v>7</v>
      </c>
      <c r="CH14" s="4" t="s">
        <v>7</v>
      </c>
      <c r="CI14" s="4" t="s">
        <v>7</v>
      </c>
      <c r="CJ14" s="4" t="s">
        <v>7</v>
      </c>
      <c r="CK14" s="4" t="s">
        <v>7</v>
      </c>
      <c r="CL14" s="4" t="s">
        <v>7</v>
      </c>
      <c r="CM14" s="4" t="s">
        <v>7</v>
      </c>
      <c r="CN14" s="4" t="s">
        <v>7</v>
      </c>
      <c r="CO14" s="4" t="s">
        <v>7</v>
      </c>
      <c r="CP14" s="4" t="s">
        <v>7</v>
      </c>
      <c r="CQ14" s="4" t="s">
        <v>7</v>
      </c>
      <c r="CR14" s="4" t="s">
        <v>7</v>
      </c>
      <c r="CS14" s="4" t="s">
        <v>7</v>
      </c>
      <c r="CT14" s="4" t="s">
        <v>7</v>
      </c>
      <c r="CU14" s="4" t="s">
        <v>7</v>
      </c>
      <c r="CV14" s="4" t="s">
        <v>7</v>
      </c>
      <c r="CW14" s="4" t="s">
        <v>7</v>
      </c>
      <c r="CX14" s="4" t="s">
        <v>7</v>
      </c>
      <c r="CY14" s="4" t="s">
        <v>7</v>
      </c>
      <c r="CZ14" s="4" t="s">
        <v>7</v>
      </c>
      <c r="DA14" s="4" t="s">
        <v>7</v>
      </c>
      <c r="DB14" s="4" t="s">
        <v>7</v>
      </c>
      <c r="DC14" s="4" t="s">
        <v>7</v>
      </c>
      <c r="DD14" s="4" t="s">
        <v>7</v>
      </c>
      <c r="DE14" s="4" t="s">
        <v>7</v>
      </c>
      <c r="DF14" s="4" t="s">
        <v>7</v>
      </c>
      <c r="DG14" s="4" t="s">
        <v>7</v>
      </c>
      <c r="DH14" s="4" t="s">
        <v>7</v>
      </c>
      <c r="DI14" s="4" t="s">
        <v>7</v>
      </c>
      <c r="DJ14" s="4" t="s">
        <v>7</v>
      </c>
      <c r="DK14" s="4" t="s">
        <v>7</v>
      </c>
      <c r="DL14" s="4" t="s">
        <v>7</v>
      </c>
      <c r="DM14" s="4" t="s">
        <v>7</v>
      </c>
      <c r="DN14" s="4" t="s">
        <v>7</v>
      </c>
      <c r="DO14" s="4" t="s">
        <v>7</v>
      </c>
      <c r="DP14" s="4" t="s">
        <v>7</v>
      </c>
      <c r="DQ14" s="4" t="s">
        <v>7</v>
      </c>
      <c r="DR14" s="4" t="s">
        <v>7</v>
      </c>
      <c r="DS14" s="4" t="s">
        <v>7</v>
      </c>
      <c r="DT14" s="4" t="s">
        <v>7</v>
      </c>
      <c r="DU14" s="4" t="s">
        <v>7</v>
      </c>
      <c r="DV14" s="4" t="s">
        <v>7</v>
      </c>
      <c r="DW14" s="4" t="s">
        <v>7</v>
      </c>
      <c r="DX14" s="4" t="s">
        <v>7</v>
      </c>
      <c r="DY14" s="4" t="s">
        <v>7</v>
      </c>
      <c r="DZ14" s="4" t="s">
        <v>7</v>
      </c>
      <c r="EA14" s="4" t="s">
        <v>7</v>
      </c>
      <c r="EB14" s="4" t="s">
        <v>7</v>
      </c>
      <c r="EC14" s="4" t="s">
        <v>7</v>
      </c>
      <c r="ED14" s="4" t="s">
        <v>7</v>
      </c>
      <c r="EE14" s="4" t="s">
        <v>7</v>
      </c>
      <c r="EF14" s="4" t="s">
        <v>7</v>
      </c>
      <c r="EG14" s="4" t="s">
        <v>7</v>
      </c>
      <c r="EH14" s="4" t="s">
        <v>7</v>
      </c>
      <c r="EI14" s="4" t="s">
        <v>7</v>
      </c>
      <c r="EJ14" s="4" t="s">
        <v>7</v>
      </c>
      <c r="EK14" s="4" t="s">
        <v>7</v>
      </c>
      <c r="EL14" s="4" t="s">
        <v>7</v>
      </c>
      <c r="EM14" s="4" t="s">
        <v>7</v>
      </c>
      <c r="EN14" s="4" t="s">
        <v>7</v>
      </c>
      <c r="EO14" s="4" t="s">
        <v>7</v>
      </c>
      <c r="EP14" s="4" t="s">
        <v>7</v>
      </c>
      <c r="EQ14" s="4" t="s">
        <v>7</v>
      </c>
      <c r="ER14" s="4" t="s">
        <v>7</v>
      </c>
      <c r="ES14" s="4" t="s">
        <v>7</v>
      </c>
      <c r="ET14" s="4" t="s">
        <v>7</v>
      </c>
      <c r="EU14" s="4" t="s">
        <v>7</v>
      </c>
      <c r="EV14" s="4" t="s">
        <v>7</v>
      </c>
      <c r="EW14" s="4" t="s">
        <v>7</v>
      </c>
      <c r="EX14" s="4" t="s">
        <v>7</v>
      </c>
      <c r="EY14" s="4" t="s">
        <v>7</v>
      </c>
      <c r="EZ14" s="4" t="s">
        <v>7</v>
      </c>
      <c r="FA14" s="4" t="s">
        <v>7</v>
      </c>
      <c r="FB14" s="4" t="s">
        <v>7</v>
      </c>
      <c r="FC14" s="4" t="s">
        <v>7</v>
      </c>
      <c r="FD14" s="4" t="s">
        <v>7</v>
      </c>
      <c r="FE14" s="4" t="s">
        <v>7</v>
      </c>
      <c r="FF14" s="4" t="s">
        <v>7</v>
      </c>
      <c r="FG14" s="4" t="s">
        <v>7</v>
      </c>
    </row>
    <row r="15" spans="1:163" x14ac:dyDescent="0.2">
      <c r="A15" s="2" t="s">
        <v>22</v>
      </c>
      <c r="B15" s="4">
        <f t="shared" si="2"/>
        <v>153</v>
      </c>
      <c r="C15" s="4">
        <f t="shared" si="3"/>
        <v>141</v>
      </c>
      <c r="D15" s="6">
        <f t="shared" si="4"/>
        <v>4</v>
      </c>
      <c r="E15" s="4">
        <f t="shared" si="0"/>
        <v>0</v>
      </c>
      <c r="F15" s="4">
        <f t="shared" si="1"/>
        <v>6</v>
      </c>
      <c r="G15" s="4">
        <f t="shared" si="5"/>
        <v>2</v>
      </c>
      <c r="H15" s="4">
        <f t="shared" si="6"/>
        <v>0</v>
      </c>
      <c r="I15" s="4">
        <f t="shared" si="7"/>
        <v>0</v>
      </c>
      <c r="J15" s="4">
        <f t="shared" si="8"/>
        <v>0</v>
      </c>
      <c r="K15" s="4" t="s">
        <v>7</v>
      </c>
      <c r="L15" s="4" t="s">
        <v>7</v>
      </c>
      <c r="M15" s="4" t="s">
        <v>7</v>
      </c>
      <c r="N15" s="4" t="s">
        <v>7</v>
      </c>
      <c r="O15" s="4" t="s">
        <v>7</v>
      </c>
      <c r="P15" s="4" t="s">
        <v>7</v>
      </c>
      <c r="Q15" s="4" t="s">
        <v>7</v>
      </c>
      <c r="R15" s="4" t="s">
        <v>7</v>
      </c>
      <c r="S15" s="4" t="s">
        <v>7</v>
      </c>
      <c r="T15" s="4" t="s">
        <v>7</v>
      </c>
      <c r="U15" s="4" t="s">
        <v>7</v>
      </c>
      <c r="V15" s="4" t="s">
        <v>7</v>
      </c>
      <c r="W15" s="4" t="s">
        <v>7</v>
      </c>
      <c r="X15" s="4" t="s">
        <v>7</v>
      </c>
      <c r="Y15" s="4" t="s">
        <v>7</v>
      </c>
      <c r="Z15" s="4" t="s">
        <v>7</v>
      </c>
      <c r="AA15" s="4" t="s">
        <v>7</v>
      </c>
      <c r="AB15" s="4" t="s">
        <v>7</v>
      </c>
      <c r="AC15" s="4" t="s">
        <v>7</v>
      </c>
      <c r="AD15" s="4" t="s">
        <v>7</v>
      </c>
      <c r="AE15" s="4" t="s">
        <v>7</v>
      </c>
      <c r="AF15" s="4" t="s">
        <v>7</v>
      </c>
      <c r="AG15" s="4" t="s">
        <v>7</v>
      </c>
      <c r="AH15" s="4" t="s">
        <v>7</v>
      </c>
      <c r="AI15" s="4" t="s">
        <v>7</v>
      </c>
      <c r="AJ15" s="4" t="s">
        <v>7</v>
      </c>
      <c r="AK15" s="4" t="s">
        <v>7</v>
      </c>
      <c r="AL15" s="4" t="s">
        <v>7</v>
      </c>
      <c r="AM15" s="4" t="s">
        <v>7</v>
      </c>
      <c r="AN15" s="4" t="s">
        <v>7</v>
      </c>
      <c r="AO15" s="4" t="s">
        <v>7</v>
      </c>
      <c r="AP15" s="4" t="s">
        <v>7</v>
      </c>
      <c r="AQ15" s="4" t="s">
        <v>7</v>
      </c>
      <c r="AR15" s="4" t="s">
        <v>7</v>
      </c>
      <c r="AS15" s="4" t="s">
        <v>7</v>
      </c>
      <c r="AT15" s="4" t="s">
        <v>7</v>
      </c>
      <c r="AU15" s="4" t="s">
        <v>7</v>
      </c>
      <c r="AV15" s="4" t="s">
        <v>7</v>
      </c>
      <c r="AW15" s="4" t="s">
        <v>7</v>
      </c>
      <c r="AX15" s="4" t="s">
        <v>7</v>
      </c>
      <c r="AY15" s="4" t="s">
        <v>7</v>
      </c>
      <c r="AZ15" s="4" t="s">
        <v>38</v>
      </c>
      <c r="BA15" s="4" t="s">
        <v>38</v>
      </c>
      <c r="BB15" s="4" t="s">
        <v>7</v>
      </c>
      <c r="BC15" s="4" t="s">
        <v>7</v>
      </c>
      <c r="BD15" s="4" t="s">
        <v>7</v>
      </c>
      <c r="BE15" s="4" t="s">
        <v>7</v>
      </c>
      <c r="BF15" s="4" t="s">
        <v>7</v>
      </c>
      <c r="BG15" s="4" t="s">
        <v>7</v>
      </c>
      <c r="BH15" s="4" t="s">
        <v>7</v>
      </c>
      <c r="BI15" s="4" t="s">
        <v>7</v>
      </c>
      <c r="BJ15" s="4" t="s">
        <v>7</v>
      </c>
      <c r="BK15" s="4" t="s">
        <v>7</v>
      </c>
      <c r="BL15" s="4" t="s">
        <v>7</v>
      </c>
      <c r="BM15" s="4" t="s">
        <v>7</v>
      </c>
      <c r="BN15" s="4" t="s">
        <v>7</v>
      </c>
      <c r="BO15" s="4" t="s">
        <v>7</v>
      </c>
      <c r="BP15" s="4" t="s">
        <v>7</v>
      </c>
      <c r="BQ15" s="4" t="s">
        <v>7</v>
      </c>
      <c r="BR15" s="4" t="s">
        <v>7</v>
      </c>
      <c r="BS15" s="4" t="s">
        <v>7</v>
      </c>
      <c r="BT15" s="4" t="s">
        <v>7</v>
      </c>
      <c r="BU15" s="4" t="s">
        <v>7</v>
      </c>
      <c r="BV15" s="4" t="s">
        <v>7</v>
      </c>
      <c r="BW15" s="4" t="s">
        <v>7</v>
      </c>
      <c r="BX15" s="4" t="s">
        <v>7</v>
      </c>
      <c r="BY15" s="4" t="s">
        <v>35</v>
      </c>
      <c r="BZ15" s="4" t="s">
        <v>35</v>
      </c>
      <c r="CA15" s="4" t="s">
        <v>35</v>
      </c>
      <c r="CB15" s="4" t="s">
        <v>7</v>
      </c>
      <c r="CC15" s="4" t="s">
        <v>7</v>
      </c>
      <c r="CD15" s="4" t="s">
        <v>7</v>
      </c>
      <c r="CE15" s="4" t="s">
        <v>7</v>
      </c>
      <c r="CF15" s="4" t="s">
        <v>7</v>
      </c>
      <c r="CG15" s="4" t="s">
        <v>7</v>
      </c>
      <c r="CH15" s="4" t="s">
        <v>7</v>
      </c>
      <c r="CI15" s="4" t="s">
        <v>7</v>
      </c>
      <c r="CJ15" s="4" t="s">
        <v>7</v>
      </c>
      <c r="CK15" s="4" t="s">
        <v>7</v>
      </c>
      <c r="CL15" s="4" t="s">
        <v>7</v>
      </c>
      <c r="CM15" s="4" t="s">
        <v>7</v>
      </c>
      <c r="CN15" s="4" t="s">
        <v>7</v>
      </c>
      <c r="CO15" s="4" t="s">
        <v>7</v>
      </c>
      <c r="CP15" s="4" t="s">
        <v>7</v>
      </c>
      <c r="CQ15" s="4" t="s">
        <v>7</v>
      </c>
      <c r="CR15" s="4" t="s">
        <v>7</v>
      </c>
      <c r="CS15" s="4" t="s">
        <v>7</v>
      </c>
      <c r="CT15" s="4" t="s">
        <v>7</v>
      </c>
      <c r="CU15" s="4" t="s">
        <v>7</v>
      </c>
      <c r="CV15" s="4" t="s">
        <v>7</v>
      </c>
      <c r="CW15" s="4" t="s">
        <v>7</v>
      </c>
      <c r="CX15" s="4" t="s">
        <v>7</v>
      </c>
      <c r="CY15" s="4" t="s">
        <v>7</v>
      </c>
      <c r="CZ15" s="4" t="s">
        <v>7</v>
      </c>
      <c r="DA15" s="4" t="s">
        <v>7</v>
      </c>
      <c r="DB15" s="4" t="s">
        <v>7</v>
      </c>
      <c r="DC15" s="4" t="s">
        <v>7</v>
      </c>
      <c r="DD15" s="4" t="s">
        <v>7</v>
      </c>
      <c r="DE15" s="4" t="s">
        <v>7</v>
      </c>
      <c r="DF15" s="4" t="s">
        <v>7</v>
      </c>
      <c r="DG15" s="4" t="s">
        <v>7</v>
      </c>
      <c r="DH15" s="4" t="s">
        <v>7</v>
      </c>
      <c r="DI15" s="4" t="s">
        <v>7</v>
      </c>
      <c r="DJ15" s="4" t="s">
        <v>7</v>
      </c>
      <c r="DK15" s="4" t="s">
        <v>7</v>
      </c>
      <c r="DL15" s="4" t="s">
        <v>7</v>
      </c>
      <c r="DM15" s="4" t="s">
        <v>7</v>
      </c>
      <c r="DN15" s="4" t="s">
        <v>7</v>
      </c>
      <c r="DO15" s="4" t="s">
        <v>7</v>
      </c>
      <c r="DP15" s="4" t="s">
        <v>7</v>
      </c>
      <c r="DQ15" s="4" t="s">
        <v>7</v>
      </c>
      <c r="DR15" s="4" t="s">
        <v>7</v>
      </c>
      <c r="DS15" s="4" t="s">
        <v>7</v>
      </c>
      <c r="DT15" s="4" t="s">
        <v>7</v>
      </c>
      <c r="DU15" s="4" t="s">
        <v>7</v>
      </c>
      <c r="DV15" s="4" t="s">
        <v>7</v>
      </c>
      <c r="DW15" s="4" t="s">
        <v>7</v>
      </c>
      <c r="DX15" s="4" t="s">
        <v>7</v>
      </c>
      <c r="DY15" s="4" t="s">
        <v>7</v>
      </c>
      <c r="DZ15" s="4" t="s">
        <v>35</v>
      </c>
      <c r="EA15" s="4" t="s">
        <v>35</v>
      </c>
      <c r="EB15" s="4" t="s">
        <v>35</v>
      </c>
      <c r="EC15" s="4" t="s">
        <v>7</v>
      </c>
      <c r="ED15" s="4" t="s">
        <v>7</v>
      </c>
      <c r="EE15" s="4" t="s">
        <v>7</v>
      </c>
      <c r="EF15" s="4" t="s">
        <v>7</v>
      </c>
      <c r="EG15" s="4" t="s">
        <v>7</v>
      </c>
      <c r="EH15" s="4" t="s">
        <v>7</v>
      </c>
      <c r="EI15" s="4" t="s">
        <v>7</v>
      </c>
      <c r="EJ15" s="4" t="s">
        <v>7</v>
      </c>
      <c r="EK15" s="4" t="s">
        <v>7</v>
      </c>
      <c r="EL15" s="4" t="s">
        <v>7</v>
      </c>
      <c r="EM15" s="4" t="s">
        <v>7</v>
      </c>
      <c r="EN15" s="4" t="s">
        <v>7</v>
      </c>
      <c r="EO15" s="4" t="s">
        <v>7</v>
      </c>
      <c r="EP15" s="4" t="s">
        <v>7</v>
      </c>
      <c r="EQ15" s="4" t="s">
        <v>7</v>
      </c>
      <c r="ER15" s="4" t="s">
        <v>7</v>
      </c>
      <c r="ES15" s="4" t="s">
        <v>7</v>
      </c>
      <c r="ET15" s="4" t="s">
        <v>7</v>
      </c>
      <c r="EU15" s="4" t="s">
        <v>7</v>
      </c>
      <c r="EV15" s="4" t="s">
        <v>42</v>
      </c>
      <c r="EW15" s="4" t="s">
        <v>7</v>
      </c>
      <c r="EX15" s="4" t="s">
        <v>7</v>
      </c>
      <c r="EY15" s="4" t="s">
        <v>42</v>
      </c>
      <c r="EZ15" s="4" t="s">
        <v>42</v>
      </c>
      <c r="FA15" s="4" t="s">
        <v>42</v>
      </c>
      <c r="FB15" s="4" t="s">
        <v>7</v>
      </c>
      <c r="FC15" s="4" t="s">
        <v>7</v>
      </c>
      <c r="FD15" s="4" t="s">
        <v>7</v>
      </c>
      <c r="FE15" s="4" t="s">
        <v>7</v>
      </c>
      <c r="FF15" s="4" t="s">
        <v>7</v>
      </c>
      <c r="FG15" s="4" t="s">
        <v>7</v>
      </c>
    </row>
    <row r="16" spans="1:163" x14ac:dyDescent="0.2">
      <c r="A16" s="2" t="s">
        <v>23</v>
      </c>
      <c r="B16" s="4">
        <f t="shared" si="2"/>
        <v>102</v>
      </c>
      <c r="C16" s="4">
        <f t="shared" si="3"/>
        <v>82</v>
      </c>
      <c r="D16" s="6">
        <f t="shared" si="4"/>
        <v>1</v>
      </c>
      <c r="E16" s="4">
        <f t="shared" si="0"/>
        <v>0</v>
      </c>
      <c r="F16" s="4">
        <f t="shared" si="1"/>
        <v>6</v>
      </c>
      <c r="G16" s="4">
        <f t="shared" si="5"/>
        <v>0</v>
      </c>
      <c r="H16" s="4">
        <f t="shared" si="6"/>
        <v>0</v>
      </c>
      <c r="I16" s="4">
        <f t="shared" si="7"/>
        <v>13</v>
      </c>
      <c r="J16" s="4">
        <f t="shared" si="8"/>
        <v>0</v>
      </c>
      <c r="K16" s="4" t="s">
        <v>34</v>
      </c>
      <c r="L16" s="4" t="s">
        <v>34</v>
      </c>
      <c r="M16" s="4" t="s">
        <v>34</v>
      </c>
      <c r="N16" s="4" t="s">
        <v>34</v>
      </c>
      <c r="O16" s="4" t="s">
        <v>34</v>
      </c>
      <c r="P16" s="4" t="s">
        <v>34</v>
      </c>
      <c r="Q16" s="4" t="s">
        <v>34</v>
      </c>
      <c r="R16" s="4" t="s">
        <v>34</v>
      </c>
      <c r="S16" s="4" t="s">
        <v>34</v>
      </c>
      <c r="T16" s="4" t="s">
        <v>7</v>
      </c>
      <c r="U16" s="4" t="s">
        <v>7</v>
      </c>
      <c r="V16" s="4" t="s">
        <v>7</v>
      </c>
      <c r="W16" s="4" t="s">
        <v>7</v>
      </c>
      <c r="X16" s="4" t="s">
        <v>7</v>
      </c>
      <c r="Y16" s="4" t="s">
        <v>7</v>
      </c>
      <c r="Z16" s="4" t="s">
        <v>34</v>
      </c>
      <c r="AA16" s="4" t="s">
        <v>7</v>
      </c>
      <c r="AB16" s="4" t="s">
        <v>7</v>
      </c>
      <c r="AC16" s="4" t="s">
        <v>7</v>
      </c>
      <c r="AD16" s="4" t="s">
        <v>7</v>
      </c>
      <c r="AE16" s="4" t="s">
        <v>7</v>
      </c>
      <c r="AF16" s="4" t="s">
        <v>7</v>
      </c>
      <c r="AG16" s="4" t="s">
        <v>34</v>
      </c>
      <c r="AH16" s="4" t="s">
        <v>7</v>
      </c>
      <c r="AI16" s="4" t="s">
        <v>7</v>
      </c>
      <c r="AJ16" s="4" t="s">
        <v>7</v>
      </c>
      <c r="AK16" s="4" t="s">
        <v>7</v>
      </c>
      <c r="AL16" s="4" t="s">
        <v>7</v>
      </c>
      <c r="AM16" s="4" t="s">
        <v>7</v>
      </c>
      <c r="AN16" s="4" t="s">
        <v>7</v>
      </c>
      <c r="AO16" s="4" t="s">
        <v>7</v>
      </c>
      <c r="AP16" s="4" t="s">
        <v>7</v>
      </c>
      <c r="AQ16" s="4" t="s">
        <v>7</v>
      </c>
      <c r="AR16" s="4" t="s">
        <v>7</v>
      </c>
      <c r="AS16" s="4" t="s">
        <v>7</v>
      </c>
      <c r="AT16" s="4" t="s">
        <v>7</v>
      </c>
      <c r="AU16" s="4" t="s">
        <v>7</v>
      </c>
      <c r="AV16" s="4" t="s">
        <v>7</v>
      </c>
      <c r="AW16" s="4" t="s">
        <v>7</v>
      </c>
      <c r="AX16" s="4" t="s">
        <v>7</v>
      </c>
      <c r="AY16" s="4" t="s">
        <v>7</v>
      </c>
      <c r="AZ16" s="4" t="s">
        <v>7</v>
      </c>
      <c r="BA16" s="4" t="s">
        <v>7</v>
      </c>
      <c r="BB16" s="4" t="s">
        <v>7</v>
      </c>
      <c r="BC16" s="4" t="s">
        <v>7</v>
      </c>
      <c r="BD16" s="4" t="s">
        <v>7</v>
      </c>
      <c r="BE16" s="4" t="s">
        <v>7</v>
      </c>
      <c r="BF16" s="4" t="s">
        <v>7</v>
      </c>
      <c r="BG16" s="4" t="s">
        <v>35</v>
      </c>
      <c r="BH16" s="4" t="s">
        <v>7</v>
      </c>
      <c r="BI16" s="4" t="s">
        <v>7</v>
      </c>
      <c r="BJ16" s="4" t="s">
        <v>7</v>
      </c>
      <c r="BK16" s="4" t="s">
        <v>7</v>
      </c>
      <c r="BL16" s="4" t="s">
        <v>7</v>
      </c>
      <c r="BM16" s="4" t="s">
        <v>7</v>
      </c>
      <c r="BN16" s="4" t="s">
        <v>7</v>
      </c>
      <c r="BO16" s="4" t="s">
        <v>7</v>
      </c>
      <c r="BP16" s="4" t="s">
        <v>35</v>
      </c>
      <c r="BQ16" s="4" t="s">
        <v>7</v>
      </c>
      <c r="BR16" s="4" t="s">
        <v>7</v>
      </c>
      <c r="BS16" s="4" t="s">
        <v>7</v>
      </c>
      <c r="BT16" s="4" t="s">
        <v>7</v>
      </c>
      <c r="BU16" s="4" t="s">
        <v>7</v>
      </c>
      <c r="BV16" s="4" t="s">
        <v>35</v>
      </c>
      <c r="BW16" s="4" t="s">
        <v>7</v>
      </c>
      <c r="BX16" s="4" t="s">
        <v>7</v>
      </c>
      <c r="BY16" s="4" t="s">
        <v>7</v>
      </c>
      <c r="BZ16" s="4" t="s">
        <v>7</v>
      </c>
      <c r="CA16" s="4" t="s">
        <v>7</v>
      </c>
      <c r="CB16" s="4" t="s">
        <v>7</v>
      </c>
      <c r="CC16" s="4" t="s">
        <v>7</v>
      </c>
      <c r="CD16" s="4" t="s">
        <v>7</v>
      </c>
      <c r="CE16" s="4" t="s">
        <v>7</v>
      </c>
      <c r="CF16" s="4" t="s">
        <v>7</v>
      </c>
      <c r="CG16" s="4" t="s">
        <v>7</v>
      </c>
      <c r="CH16" s="4" t="s">
        <v>7</v>
      </c>
      <c r="CI16" s="4" t="s">
        <v>7</v>
      </c>
      <c r="CJ16" s="4" t="s">
        <v>7</v>
      </c>
      <c r="CK16" s="4" t="s">
        <v>7</v>
      </c>
      <c r="CL16" s="4" t="s">
        <v>7</v>
      </c>
      <c r="CM16" s="4" t="s">
        <v>7</v>
      </c>
      <c r="CN16" s="4" t="s">
        <v>7</v>
      </c>
      <c r="CO16" s="4" t="s">
        <v>7</v>
      </c>
      <c r="CP16" s="4" t="s">
        <v>35</v>
      </c>
      <c r="CQ16" s="4" t="s">
        <v>35</v>
      </c>
      <c r="CR16" s="4" t="s">
        <v>7</v>
      </c>
      <c r="CS16" s="4" t="s">
        <v>7</v>
      </c>
      <c r="CT16" s="4" t="s">
        <v>35</v>
      </c>
      <c r="CU16" s="4" t="s">
        <v>34</v>
      </c>
      <c r="CV16" s="4" t="s">
        <v>7</v>
      </c>
      <c r="CW16" s="4" t="s">
        <v>42</v>
      </c>
      <c r="CX16" s="4" t="s">
        <v>34</v>
      </c>
      <c r="CY16" s="4" t="s">
        <v>7</v>
      </c>
      <c r="CZ16" s="4" t="s">
        <v>7</v>
      </c>
      <c r="DA16" s="4" t="s">
        <v>7</v>
      </c>
      <c r="DB16" s="4" t="s">
        <v>7</v>
      </c>
      <c r="DC16" s="4" t="s">
        <v>7</v>
      </c>
      <c r="DD16" s="4" t="s">
        <v>7</v>
      </c>
      <c r="DE16" s="4" t="s">
        <v>7</v>
      </c>
      <c r="DF16" s="4" t="s">
        <v>7</v>
      </c>
      <c r="DG16" s="4" t="s">
        <v>7</v>
      </c>
      <c r="DH16" s="4" t="s">
        <v>7</v>
      </c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</row>
    <row r="17" spans="1:163" x14ac:dyDescent="0.2">
      <c r="A17" s="2" t="s">
        <v>24</v>
      </c>
      <c r="B17" s="4">
        <f t="shared" si="2"/>
        <v>95</v>
      </c>
      <c r="C17" s="4">
        <f t="shared" si="3"/>
        <v>70</v>
      </c>
      <c r="D17" s="6">
        <f t="shared" si="4"/>
        <v>0</v>
      </c>
      <c r="E17" s="4">
        <f t="shared" si="0"/>
        <v>1</v>
      </c>
      <c r="F17" s="4">
        <f t="shared" si="1"/>
        <v>15</v>
      </c>
      <c r="G17" s="4">
        <f t="shared" si="5"/>
        <v>0</v>
      </c>
      <c r="H17" s="4">
        <f t="shared" si="6"/>
        <v>0</v>
      </c>
      <c r="I17" s="4">
        <f t="shared" si="7"/>
        <v>9</v>
      </c>
      <c r="J17" s="4">
        <f t="shared" si="8"/>
        <v>0</v>
      </c>
      <c r="K17" s="4" t="s">
        <v>7</v>
      </c>
      <c r="L17" s="4" t="s">
        <v>7</v>
      </c>
      <c r="M17" s="4" t="s">
        <v>7</v>
      </c>
      <c r="N17" s="4" t="s">
        <v>7</v>
      </c>
      <c r="O17" s="4" t="s">
        <v>7</v>
      </c>
      <c r="P17" s="4" t="s">
        <v>7</v>
      </c>
      <c r="Q17" s="4" t="s">
        <v>7</v>
      </c>
      <c r="R17" s="4" t="s">
        <v>7</v>
      </c>
      <c r="S17" s="4" t="s">
        <v>7</v>
      </c>
      <c r="T17" s="4" t="s">
        <v>7</v>
      </c>
      <c r="U17" s="4" t="s">
        <v>7</v>
      </c>
      <c r="V17" s="4" t="s">
        <v>7</v>
      </c>
      <c r="W17" s="4" t="s">
        <v>7</v>
      </c>
      <c r="X17" s="4" t="s">
        <v>7</v>
      </c>
      <c r="Y17" s="4" t="s">
        <v>32</v>
      </c>
      <c r="Z17" s="4" t="s">
        <v>7</v>
      </c>
      <c r="AA17" s="4" t="s">
        <v>7</v>
      </c>
      <c r="AB17" s="4" t="s">
        <v>34</v>
      </c>
      <c r="AC17" s="4" t="s">
        <v>34</v>
      </c>
      <c r="AD17" s="4" t="s">
        <v>7</v>
      </c>
      <c r="AE17" s="4" t="s">
        <v>35</v>
      </c>
      <c r="AF17" s="4" t="s">
        <v>35</v>
      </c>
      <c r="AG17" s="4" t="s">
        <v>35</v>
      </c>
      <c r="AH17" s="4" t="s">
        <v>35</v>
      </c>
      <c r="AI17" s="4" t="s">
        <v>35</v>
      </c>
      <c r="AJ17" s="4" t="s">
        <v>35</v>
      </c>
      <c r="AK17" s="4" t="s">
        <v>35</v>
      </c>
      <c r="AL17" s="4" t="s">
        <v>35</v>
      </c>
      <c r="AM17" s="4" t="s">
        <v>34</v>
      </c>
      <c r="AN17" s="4" t="s">
        <v>34</v>
      </c>
      <c r="AO17" s="4" t="s">
        <v>34</v>
      </c>
      <c r="AP17" s="4" t="s">
        <v>34</v>
      </c>
      <c r="AQ17" s="4" t="s">
        <v>7</v>
      </c>
      <c r="AR17" s="4" t="s">
        <v>7</v>
      </c>
      <c r="AS17" s="4" t="s">
        <v>7</v>
      </c>
      <c r="AT17" s="4" t="s">
        <v>7</v>
      </c>
      <c r="AU17" s="4" t="s">
        <v>7</v>
      </c>
      <c r="AV17" s="4" t="s">
        <v>7</v>
      </c>
      <c r="AW17" s="4" t="s">
        <v>7</v>
      </c>
      <c r="AX17" s="4" t="s">
        <v>7</v>
      </c>
      <c r="AY17" s="4" t="s">
        <v>7</v>
      </c>
      <c r="AZ17" s="4" t="s">
        <v>7</v>
      </c>
      <c r="BA17" s="4" t="s">
        <v>7</v>
      </c>
      <c r="BB17" s="4" t="s">
        <v>7</v>
      </c>
      <c r="BC17" s="4" t="s">
        <v>7</v>
      </c>
      <c r="BD17" s="4" t="s">
        <v>7</v>
      </c>
      <c r="BE17" s="4" t="s">
        <v>7</v>
      </c>
      <c r="BF17" s="4" t="s">
        <v>7</v>
      </c>
      <c r="BG17" s="4" t="s">
        <v>7</v>
      </c>
      <c r="BH17" s="4" t="s">
        <v>35</v>
      </c>
      <c r="BI17" s="4" t="s">
        <v>35</v>
      </c>
      <c r="BJ17" s="4" t="s">
        <v>35</v>
      </c>
      <c r="BK17" s="4" t="s">
        <v>35</v>
      </c>
      <c r="BL17" s="4" t="s">
        <v>35</v>
      </c>
      <c r="BM17" s="4" t="s">
        <v>35</v>
      </c>
      <c r="BN17" s="4" t="s">
        <v>35</v>
      </c>
      <c r="BO17" s="4" t="s">
        <v>34</v>
      </c>
      <c r="BP17" s="4" t="s">
        <v>34</v>
      </c>
      <c r="BQ17" s="4" t="s">
        <v>34</v>
      </c>
      <c r="BR17" s="4" t="s">
        <v>7</v>
      </c>
      <c r="BS17" s="4" t="s">
        <v>7</v>
      </c>
      <c r="BT17" s="4" t="s">
        <v>7</v>
      </c>
      <c r="BU17" s="4" t="s">
        <v>7</v>
      </c>
      <c r="BV17" s="4" t="s">
        <v>7</v>
      </c>
      <c r="BW17" s="4" t="s">
        <v>7</v>
      </c>
      <c r="BX17" s="4" t="s">
        <v>7</v>
      </c>
      <c r="BY17" s="4" t="s">
        <v>7</v>
      </c>
      <c r="BZ17" s="4" t="s">
        <v>7</v>
      </c>
      <c r="CA17" s="4" t="s">
        <v>7</v>
      </c>
      <c r="CB17" s="4" t="s">
        <v>7</v>
      </c>
      <c r="CC17" s="4" t="s">
        <v>7</v>
      </c>
      <c r="CD17" s="4" t="s">
        <v>7</v>
      </c>
      <c r="CE17" s="4" t="s">
        <v>7</v>
      </c>
      <c r="CF17" s="4" t="s">
        <v>7</v>
      </c>
      <c r="CG17" s="4" t="s">
        <v>7</v>
      </c>
      <c r="CH17" s="4" t="s">
        <v>7</v>
      </c>
      <c r="CI17" s="4" t="s">
        <v>7</v>
      </c>
      <c r="CJ17" s="4" t="s">
        <v>7</v>
      </c>
      <c r="CK17" s="4" t="s">
        <v>7</v>
      </c>
      <c r="CL17" s="4" t="s">
        <v>7</v>
      </c>
      <c r="CM17" s="4" t="s">
        <v>7</v>
      </c>
      <c r="CN17" s="4" t="s">
        <v>7</v>
      </c>
      <c r="CO17" s="4" t="s">
        <v>7</v>
      </c>
      <c r="CP17" s="4" t="s">
        <v>7</v>
      </c>
      <c r="CQ17" s="4" t="s">
        <v>7</v>
      </c>
      <c r="CR17" s="4" t="s">
        <v>7</v>
      </c>
      <c r="CS17" s="4" t="s">
        <v>7</v>
      </c>
      <c r="CT17" s="4" t="s">
        <v>7</v>
      </c>
      <c r="CU17" s="4" t="s">
        <v>7</v>
      </c>
      <c r="CV17" s="4" t="s">
        <v>7</v>
      </c>
      <c r="CW17" s="4" t="s">
        <v>7</v>
      </c>
      <c r="CX17" s="4" t="s">
        <v>7</v>
      </c>
      <c r="CY17" s="4" t="s">
        <v>7</v>
      </c>
      <c r="CZ17" s="4" t="s">
        <v>7</v>
      </c>
      <c r="DA17" s="4" t="s">
        <v>7</v>
      </c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</row>
    <row r="18" spans="1:163" x14ac:dyDescent="0.2">
      <c r="A18" s="2" t="s">
        <v>25</v>
      </c>
      <c r="B18" s="4">
        <f t="shared" si="2"/>
        <v>153</v>
      </c>
      <c r="C18" s="4">
        <f t="shared" si="3"/>
        <v>124</v>
      </c>
      <c r="D18" s="6">
        <f t="shared" si="4"/>
        <v>1</v>
      </c>
      <c r="E18" s="4">
        <f t="shared" si="0"/>
        <v>0</v>
      </c>
      <c r="F18" s="4">
        <f t="shared" si="1"/>
        <v>21</v>
      </c>
      <c r="G18" s="4">
        <f t="shared" si="5"/>
        <v>1</v>
      </c>
      <c r="H18" s="4">
        <f t="shared" si="6"/>
        <v>0</v>
      </c>
      <c r="I18" s="4">
        <f t="shared" si="7"/>
        <v>6</v>
      </c>
      <c r="J18" s="4">
        <f t="shared" si="8"/>
        <v>0</v>
      </c>
      <c r="K18" s="4" t="s">
        <v>7</v>
      </c>
      <c r="L18" s="4" t="s">
        <v>7</v>
      </c>
      <c r="M18" s="4" t="s">
        <v>7</v>
      </c>
      <c r="N18" s="4" t="s">
        <v>7</v>
      </c>
      <c r="O18" s="4" t="s">
        <v>7</v>
      </c>
      <c r="P18" s="4" t="s">
        <v>7</v>
      </c>
      <c r="Q18" s="4" t="s">
        <v>7</v>
      </c>
      <c r="R18" s="4" t="s">
        <v>7</v>
      </c>
      <c r="S18" s="4" t="s">
        <v>7</v>
      </c>
      <c r="T18" s="4" t="s">
        <v>7</v>
      </c>
      <c r="U18" s="4" t="s">
        <v>7</v>
      </c>
      <c r="V18" s="4" t="s">
        <v>7</v>
      </c>
      <c r="W18" s="4" t="s">
        <v>7</v>
      </c>
      <c r="X18" s="4" t="s">
        <v>7</v>
      </c>
      <c r="Y18" s="4" t="s">
        <v>7</v>
      </c>
      <c r="Z18" s="4" t="s">
        <v>7</v>
      </c>
      <c r="AA18" s="4" t="s">
        <v>7</v>
      </c>
      <c r="AB18" s="4" t="s">
        <v>7</v>
      </c>
      <c r="AC18" s="4" t="s">
        <v>7</v>
      </c>
      <c r="AD18" s="4" t="s">
        <v>7</v>
      </c>
      <c r="AE18" s="4" t="s">
        <v>7</v>
      </c>
      <c r="AF18" s="4" t="s">
        <v>7</v>
      </c>
      <c r="AG18" s="4" t="s">
        <v>34</v>
      </c>
      <c r="AH18" s="4" t="s">
        <v>34</v>
      </c>
      <c r="AI18" s="4" t="s">
        <v>7</v>
      </c>
      <c r="AJ18" s="4" t="s">
        <v>7</v>
      </c>
      <c r="AK18" s="4" t="s">
        <v>7</v>
      </c>
      <c r="AL18" s="4" t="s">
        <v>7</v>
      </c>
      <c r="AM18" s="4" t="s">
        <v>7</v>
      </c>
      <c r="AN18" s="4" t="s">
        <v>7</v>
      </c>
      <c r="AO18" s="4" t="s">
        <v>7</v>
      </c>
      <c r="AP18" s="4" t="s">
        <v>7</v>
      </c>
      <c r="AQ18" s="4" t="s">
        <v>7</v>
      </c>
      <c r="AR18" s="4" t="s">
        <v>7</v>
      </c>
      <c r="AS18" s="4" t="s">
        <v>7</v>
      </c>
      <c r="AT18" s="4" t="s">
        <v>7</v>
      </c>
      <c r="AU18" s="4" t="s">
        <v>7</v>
      </c>
      <c r="AV18" s="4" t="s">
        <v>7</v>
      </c>
      <c r="AW18" s="4" t="s">
        <v>7</v>
      </c>
      <c r="AX18" s="4" t="s">
        <v>7</v>
      </c>
      <c r="AY18" s="4" t="s">
        <v>7</v>
      </c>
      <c r="AZ18" s="4" t="s">
        <v>7</v>
      </c>
      <c r="BA18" s="4" t="s">
        <v>7</v>
      </c>
      <c r="BB18" s="4" t="s">
        <v>7</v>
      </c>
      <c r="BC18" s="4" t="s">
        <v>7</v>
      </c>
      <c r="BD18" s="4" t="s">
        <v>7</v>
      </c>
      <c r="BE18" s="4" t="s">
        <v>7</v>
      </c>
      <c r="BF18" s="4" t="s">
        <v>7</v>
      </c>
      <c r="BG18" s="4" t="s">
        <v>7</v>
      </c>
      <c r="BH18" s="4" t="s">
        <v>7</v>
      </c>
      <c r="BI18" s="4" t="s">
        <v>7</v>
      </c>
      <c r="BJ18" s="4" t="s">
        <v>7</v>
      </c>
      <c r="BK18" s="4" t="s">
        <v>7</v>
      </c>
      <c r="BL18" s="4" t="s">
        <v>7</v>
      </c>
      <c r="BM18" s="4" t="s">
        <v>7</v>
      </c>
      <c r="BN18" s="4" t="s">
        <v>7</v>
      </c>
      <c r="BO18" s="4" t="s">
        <v>7</v>
      </c>
      <c r="BP18" s="4" t="s">
        <v>7</v>
      </c>
      <c r="BQ18" s="4" t="s">
        <v>7</v>
      </c>
      <c r="BR18" s="4" t="s">
        <v>35</v>
      </c>
      <c r="BS18" s="4" t="s">
        <v>7</v>
      </c>
      <c r="BT18" s="4" t="s">
        <v>7</v>
      </c>
      <c r="BU18" s="4" t="s">
        <v>7</v>
      </c>
      <c r="BV18" s="4" t="s">
        <v>35</v>
      </c>
      <c r="BW18" s="4" t="s">
        <v>35</v>
      </c>
      <c r="BX18" s="4" t="s">
        <v>35</v>
      </c>
      <c r="BY18" s="4" t="s">
        <v>7</v>
      </c>
      <c r="BZ18" s="4" t="s">
        <v>7</v>
      </c>
      <c r="CA18" s="4" t="s">
        <v>7</v>
      </c>
      <c r="CB18" s="4" t="s">
        <v>7</v>
      </c>
      <c r="CC18" s="4" t="s">
        <v>7</v>
      </c>
      <c r="CD18" s="4" t="s">
        <v>7</v>
      </c>
      <c r="CE18" s="4" t="s">
        <v>7</v>
      </c>
      <c r="CF18" s="4" t="s">
        <v>38</v>
      </c>
      <c r="CG18" s="4" t="s">
        <v>7</v>
      </c>
      <c r="CH18" s="4" t="s">
        <v>7</v>
      </c>
      <c r="CI18" s="4" t="s">
        <v>7</v>
      </c>
      <c r="CJ18" s="4" t="s">
        <v>7</v>
      </c>
      <c r="CK18" s="4" t="s">
        <v>7</v>
      </c>
      <c r="CL18" s="4" t="s">
        <v>7</v>
      </c>
      <c r="CM18" s="4" t="s">
        <v>7</v>
      </c>
      <c r="CN18" s="4" t="s">
        <v>7</v>
      </c>
      <c r="CO18" s="4" t="s">
        <v>7</v>
      </c>
      <c r="CP18" s="4" t="s">
        <v>7</v>
      </c>
      <c r="CQ18" s="4" t="s">
        <v>7</v>
      </c>
      <c r="CR18" s="4" t="s">
        <v>7</v>
      </c>
      <c r="CS18" s="4" t="s">
        <v>7</v>
      </c>
      <c r="CT18" s="4" t="s">
        <v>7</v>
      </c>
      <c r="CU18" s="4" t="s">
        <v>7</v>
      </c>
      <c r="CV18" s="4" t="s">
        <v>7</v>
      </c>
      <c r="CW18" s="4" t="s">
        <v>7</v>
      </c>
      <c r="CX18" s="4" t="s">
        <v>7</v>
      </c>
      <c r="CY18" s="4" t="s">
        <v>35</v>
      </c>
      <c r="CZ18" s="4" t="s">
        <v>7</v>
      </c>
      <c r="DA18" s="4" t="s">
        <v>7</v>
      </c>
      <c r="DB18" s="4" t="s">
        <v>7</v>
      </c>
      <c r="DC18" s="4" t="s">
        <v>35</v>
      </c>
      <c r="DD18" s="4" t="s">
        <v>35</v>
      </c>
      <c r="DE18" s="4" t="s">
        <v>35</v>
      </c>
      <c r="DF18" s="4" t="s">
        <v>35</v>
      </c>
      <c r="DG18" s="4" t="s">
        <v>34</v>
      </c>
      <c r="DH18" s="4" t="s">
        <v>34</v>
      </c>
      <c r="DI18" s="4" t="s">
        <v>35</v>
      </c>
      <c r="DJ18" s="4" t="s">
        <v>7</v>
      </c>
      <c r="DK18" s="4" t="s">
        <v>7</v>
      </c>
      <c r="DL18" s="4" t="s">
        <v>35</v>
      </c>
      <c r="DM18" s="4" t="s">
        <v>35</v>
      </c>
      <c r="DN18" s="4" t="s">
        <v>35</v>
      </c>
      <c r="DO18" s="4" t="s">
        <v>35</v>
      </c>
      <c r="DP18" s="4" t="s">
        <v>35</v>
      </c>
      <c r="DQ18" s="4" t="s">
        <v>35</v>
      </c>
      <c r="DR18" s="4" t="s">
        <v>34</v>
      </c>
      <c r="DS18" s="4" t="s">
        <v>7</v>
      </c>
      <c r="DT18" s="4" t="s">
        <v>42</v>
      </c>
      <c r="DU18" s="4" t="s">
        <v>34</v>
      </c>
      <c r="DV18" s="4" t="s">
        <v>7</v>
      </c>
      <c r="DW18" s="4" t="s">
        <v>7</v>
      </c>
      <c r="DX18" s="4" t="s">
        <v>7</v>
      </c>
      <c r="DY18" s="4" t="s">
        <v>7</v>
      </c>
      <c r="DZ18" s="4" t="s">
        <v>7</v>
      </c>
      <c r="EA18" s="4" t="s">
        <v>7</v>
      </c>
      <c r="EB18" s="4" t="s">
        <v>7</v>
      </c>
      <c r="EC18" s="4" t="s">
        <v>7</v>
      </c>
      <c r="ED18" s="4" t="s">
        <v>7</v>
      </c>
      <c r="EE18" s="4" t="s">
        <v>7</v>
      </c>
      <c r="EF18" s="4" t="s">
        <v>7</v>
      </c>
      <c r="EG18" s="4" t="s">
        <v>7</v>
      </c>
      <c r="EH18" s="4" t="s">
        <v>7</v>
      </c>
      <c r="EI18" s="4" t="s">
        <v>7</v>
      </c>
      <c r="EJ18" s="4" t="s">
        <v>7</v>
      </c>
      <c r="EK18" s="4" t="s">
        <v>7</v>
      </c>
      <c r="EL18" s="4" t="s">
        <v>7</v>
      </c>
      <c r="EM18" s="4" t="s">
        <v>7</v>
      </c>
      <c r="EN18" s="4" t="s">
        <v>7</v>
      </c>
      <c r="EO18" s="4" t="s">
        <v>7</v>
      </c>
      <c r="EP18" s="4" t="s">
        <v>7</v>
      </c>
      <c r="EQ18" s="4" t="s">
        <v>7</v>
      </c>
      <c r="ER18" s="4" t="s">
        <v>7</v>
      </c>
      <c r="ES18" s="4" t="s">
        <v>7</v>
      </c>
      <c r="ET18" s="4" t="s">
        <v>7</v>
      </c>
      <c r="EU18" s="4" t="s">
        <v>7</v>
      </c>
      <c r="EV18" s="4" t="s">
        <v>7</v>
      </c>
      <c r="EW18" s="4" t="s">
        <v>7</v>
      </c>
      <c r="EX18" s="4" t="s">
        <v>7</v>
      </c>
      <c r="EY18" s="4" t="s">
        <v>35</v>
      </c>
      <c r="EZ18" s="4" t="s">
        <v>35</v>
      </c>
      <c r="FA18" s="4" t="s">
        <v>35</v>
      </c>
      <c r="FB18" s="4" t="s">
        <v>35</v>
      </c>
      <c r="FC18" s="4" t="s">
        <v>35</v>
      </c>
      <c r="FD18" s="4" t="s">
        <v>7</v>
      </c>
      <c r="FE18" s="4" t="s">
        <v>7</v>
      </c>
      <c r="FF18" s="4" t="s">
        <v>7</v>
      </c>
      <c r="FG18" s="4" t="s">
        <v>7</v>
      </c>
    </row>
    <row r="19" spans="1:163" x14ac:dyDescent="0.2">
      <c r="A19" s="2" t="s">
        <v>26</v>
      </c>
      <c r="B19" s="4">
        <f t="shared" si="2"/>
        <v>153</v>
      </c>
      <c r="C19" s="4">
        <f t="shared" si="3"/>
        <v>137</v>
      </c>
      <c r="D19" s="6">
        <f t="shared" si="4"/>
        <v>0</v>
      </c>
      <c r="E19" s="4">
        <f t="shared" si="0"/>
        <v>2</v>
      </c>
      <c r="F19" s="4">
        <f t="shared" si="1"/>
        <v>9</v>
      </c>
      <c r="G19" s="4">
        <f t="shared" si="5"/>
        <v>2</v>
      </c>
      <c r="H19" s="4">
        <f t="shared" si="6"/>
        <v>0</v>
      </c>
      <c r="I19" s="4">
        <f t="shared" si="7"/>
        <v>3</v>
      </c>
      <c r="J19" s="4">
        <f t="shared" si="8"/>
        <v>0</v>
      </c>
      <c r="K19" s="4" t="s">
        <v>7</v>
      </c>
      <c r="L19" s="4" t="s">
        <v>7</v>
      </c>
      <c r="M19" s="4" t="s">
        <v>7</v>
      </c>
      <c r="N19" s="4" t="s">
        <v>7</v>
      </c>
      <c r="O19" s="4" t="s">
        <v>7</v>
      </c>
      <c r="P19" s="4" t="s">
        <v>7</v>
      </c>
      <c r="Q19" s="4" t="s">
        <v>7</v>
      </c>
      <c r="R19" s="4" t="s">
        <v>7</v>
      </c>
      <c r="S19" s="4" t="s">
        <v>7</v>
      </c>
      <c r="T19" s="4" t="s">
        <v>7</v>
      </c>
      <c r="U19" s="4" t="s">
        <v>7</v>
      </c>
      <c r="V19" s="4" t="s">
        <v>7</v>
      </c>
      <c r="W19" s="4" t="s">
        <v>7</v>
      </c>
      <c r="X19" s="4" t="s">
        <v>7</v>
      </c>
      <c r="Y19" s="4" t="s">
        <v>7</v>
      </c>
      <c r="Z19" s="4" t="s">
        <v>34</v>
      </c>
      <c r="AA19" s="4" t="s">
        <v>7</v>
      </c>
      <c r="AB19" s="4" t="s">
        <v>7</v>
      </c>
      <c r="AC19" s="4" t="s">
        <v>35</v>
      </c>
      <c r="AD19" s="4" t="s">
        <v>35</v>
      </c>
      <c r="AE19" s="4" t="s">
        <v>35</v>
      </c>
      <c r="AF19" s="4" t="s">
        <v>35</v>
      </c>
      <c r="AG19" s="4" t="s">
        <v>34</v>
      </c>
      <c r="AH19" s="4" t="s">
        <v>34</v>
      </c>
      <c r="AI19" s="4" t="s">
        <v>7</v>
      </c>
      <c r="AJ19" s="4" t="s">
        <v>7</v>
      </c>
      <c r="AK19" s="4" t="s">
        <v>7</v>
      </c>
      <c r="AL19" s="4" t="s">
        <v>7</v>
      </c>
      <c r="AM19" s="4" t="s">
        <v>7</v>
      </c>
      <c r="AN19" s="4" t="s">
        <v>7</v>
      </c>
      <c r="AO19" s="4" t="s">
        <v>7</v>
      </c>
      <c r="AP19" s="4" t="s">
        <v>7</v>
      </c>
      <c r="AQ19" s="4" t="s">
        <v>7</v>
      </c>
      <c r="AR19" s="4" t="s">
        <v>7</v>
      </c>
      <c r="AS19" s="4" t="s">
        <v>7</v>
      </c>
      <c r="AT19" s="4" t="s">
        <v>7</v>
      </c>
      <c r="AU19" s="4" t="s">
        <v>7</v>
      </c>
      <c r="AV19" s="4" t="s">
        <v>7</v>
      </c>
      <c r="AW19" s="4" t="s">
        <v>7</v>
      </c>
      <c r="AX19" s="4" t="s">
        <v>7</v>
      </c>
      <c r="AY19" s="4" t="s">
        <v>7</v>
      </c>
      <c r="AZ19" s="4" t="s">
        <v>7</v>
      </c>
      <c r="BA19" s="4" t="s">
        <v>7</v>
      </c>
      <c r="BB19" s="4" t="s">
        <v>7</v>
      </c>
      <c r="BC19" s="4" t="s">
        <v>7</v>
      </c>
      <c r="BD19" s="4" t="s">
        <v>7</v>
      </c>
      <c r="BE19" s="4" t="s">
        <v>7</v>
      </c>
      <c r="BF19" s="4" t="s">
        <v>7</v>
      </c>
      <c r="BG19" s="4" t="s">
        <v>38</v>
      </c>
      <c r="BH19" s="4" t="s">
        <v>7</v>
      </c>
      <c r="BI19" s="4" t="s">
        <v>7</v>
      </c>
      <c r="BJ19" s="4" t="s">
        <v>7</v>
      </c>
      <c r="BK19" s="4" t="s">
        <v>7</v>
      </c>
      <c r="BL19" s="4" t="s">
        <v>7</v>
      </c>
      <c r="BM19" s="4" t="s">
        <v>7</v>
      </c>
      <c r="BN19" s="4" t="s">
        <v>7</v>
      </c>
      <c r="BO19" s="4" t="s">
        <v>35</v>
      </c>
      <c r="BP19" s="4" t="s">
        <v>35</v>
      </c>
      <c r="BQ19" s="4" t="s">
        <v>7</v>
      </c>
      <c r="BR19" s="4" t="s">
        <v>32</v>
      </c>
      <c r="BS19" s="4" t="s">
        <v>7</v>
      </c>
      <c r="BT19" s="4" t="s">
        <v>32</v>
      </c>
      <c r="BU19" s="4" t="s">
        <v>7</v>
      </c>
      <c r="BV19" s="4" t="s">
        <v>7</v>
      </c>
      <c r="BW19" s="4" t="s">
        <v>7</v>
      </c>
      <c r="BX19" s="4" t="s">
        <v>7</v>
      </c>
      <c r="BY19" s="4" t="s">
        <v>7</v>
      </c>
      <c r="BZ19" s="4" t="s">
        <v>7</v>
      </c>
      <c r="CA19" s="4" t="s">
        <v>7</v>
      </c>
      <c r="CB19" s="4" t="s">
        <v>7</v>
      </c>
      <c r="CC19" s="4" t="s">
        <v>7</v>
      </c>
      <c r="CD19" s="4" t="s">
        <v>7</v>
      </c>
      <c r="CE19" s="4" t="s">
        <v>7</v>
      </c>
      <c r="CF19" s="4" t="s">
        <v>7</v>
      </c>
      <c r="CG19" s="4" t="s">
        <v>7</v>
      </c>
      <c r="CH19" s="4" t="s">
        <v>7</v>
      </c>
      <c r="CI19" s="4" t="s">
        <v>7</v>
      </c>
      <c r="CJ19" s="4" t="s">
        <v>7</v>
      </c>
      <c r="CK19" s="4" t="s">
        <v>7</v>
      </c>
      <c r="CL19" s="4" t="s">
        <v>7</v>
      </c>
      <c r="CM19" s="4" t="s">
        <v>7</v>
      </c>
      <c r="CN19" s="4" t="s">
        <v>7</v>
      </c>
      <c r="CO19" s="4" t="s">
        <v>7</v>
      </c>
      <c r="CP19" s="4" t="s">
        <v>7</v>
      </c>
      <c r="CQ19" s="4" t="s">
        <v>7</v>
      </c>
      <c r="CR19" s="4" t="s">
        <v>7</v>
      </c>
      <c r="CS19" s="4" t="s">
        <v>7</v>
      </c>
      <c r="CT19" s="4" t="s">
        <v>7</v>
      </c>
      <c r="CU19" s="4" t="s">
        <v>7</v>
      </c>
      <c r="CV19" s="4" t="s">
        <v>7</v>
      </c>
      <c r="CW19" s="4" t="s">
        <v>7</v>
      </c>
      <c r="CX19" s="4" t="s">
        <v>7</v>
      </c>
      <c r="CY19" s="4" t="s">
        <v>7</v>
      </c>
      <c r="CZ19" s="4" t="s">
        <v>7</v>
      </c>
      <c r="DA19" s="4" t="s">
        <v>7</v>
      </c>
      <c r="DB19" s="4" t="s">
        <v>7</v>
      </c>
      <c r="DC19" s="4" t="s">
        <v>7</v>
      </c>
      <c r="DD19" s="4" t="s">
        <v>7</v>
      </c>
      <c r="DE19" s="4" t="s">
        <v>7</v>
      </c>
      <c r="DF19" s="4" t="s">
        <v>7</v>
      </c>
      <c r="DG19" s="4" t="s">
        <v>7</v>
      </c>
      <c r="DH19" s="4" t="s">
        <v>7</v>
      </c>
      <c r="DI19" s="4" t="s">
        <v>7</v>
      </c>
      <c r="DJ19" s="4" t="s">
        <v>7</v>
      </c>
      <c r="DK19" s="4" t="s">
        <v>7</v>
      </c>
      <c r="DL19" s="4" t="s">
        <v>7</v>
      </c>
      <c r="DM19" s="4" t="s">
        <v>7</v>
      </c>
      <c r="DN19" s="4" t="s">
        <v>38</v>
      </c>
      <c r="DO19" s="4" t="s">
        <v>7</v>
      </c>
      <c r="DP19" s="4" t="s">
        <v>7</v>
      </c>
      <c r="DQ19" s="4" t="s">
        <v>7</v>
      </c>
      <c r="DR19" s="4" t="s">
        <v>7</v>
      </c>
      <c r="DS19" s="4" t="s">
        <v>7</v>
      </c>
      <c r="DT19" s="4" t="s">
        <v>7</v>
      </c>
      <c r="DU19" s="4" t="s">
        <v>7</v>
      </c>
      <c r="DV19" s="4" t="s">
        <v>7</v>
      </c>
      <c r="DW19" s="4" t="s">
        <v>7</v>
      </c>
      <c r="DX19" s="4" t="s">
        <v>7</v>
      </c>
      <c r="DY19" s="4" t="s">
        <v>7</v>
      </c>
      <c r="DZ19" s="4" t="s">
        <v>35</v>
      </c>
      <c r="EA19" s="4" t="s">
        <v>35</v>
      </c>
      <c r="EB19" s="4" t="s">
        <v>35</v>
      </c>
      <c r="EC19" s="4" t="s">
        <v>7</v>
      </c>
      <c r="ED19" s="4" t="s">
        <v>7</v>
      </c>
      <c r="EE19" s="4" t="s">
        <v>7</v>
      </c>
      <c r="EF19" s="4" t="s">
        <v>7</v>
      </c>
      <c r="EG19" s="4" t="s">
        <v>7</v>
      </c>
      <c r="EH19" s="4" t="s">
        <v>7</v>
      </c>
      <c r="EI19" s="4" t="s">
        <v>7</v>
      </c>
      <c r="EJ19" s="4" t="s">
        <v>7</v>
      </c>
      <c r="EK19" s="4" t="s">
        <v>7</v>
      </c>
      <c r="EL19" s="4" t="s">
        <v>7</v>
      </c>
      <c r="EM19" s="4" t="s">
        <v>7</v>
      </c>
      <c r="EN19" s="4" t="s">
        <v>7</v>
      </c>
      <c r="EO19" s="4" t="s">
        <v>7</v>
      </c>
      <c r="EP19" s="4" t="s">
        <v>7</v>
      </c>
      <c r="EQ19" s="4" t="s">
        <v>7</v>
      </c>
      <c r="ER19" s="4" t="s">
        <v>7</v>
      </c>
      <c r="ES19" s="4" t="s">
        <v>7</v>
      </c>
      <c r="ET19" s="4" t="s">
        <v>7</v>
      </c>
      <c r="EU19" s="4" t="s">
        <v>7</v>
      </c>
      <c r="EV19" s="4" t="s">
        <v>7</v>
      </c>
      <c r="EW19" s="4" t="s">
        <v>7</v>
      </c>
      <c r="EX19" s="4" t="s">
        <v>7</v>
      </c>
      <c r="EY19" s="4" t="s">
        <v>7</v>
      </c>
      <c r="EZ19" s="4" t="s">
        <v>7</v>
      </c>
      <c r="FA19" s="4" t="s">
        <v>7</v>
      </c>
      <c r="FB19" s="4" t="s">
        <v>7</v>
      </c>
      <c r="FC19" s="4" t="s">
        <v>7</v>
      </c>
      <c r="FD19" s="4" t="s">
        <v>7</v>
      </c>
      <c r="FE19" s="4" t="s">
        <v>7</v>
      </c>
      <c r="FF19" s="4" t="s">
        <v>7</v>
      </c>
      <c r="FG19" s="4" t="s">
        <v>7</v>
      </c>
    </row>
    <row r="20" spans="1:163" x14ac:dyDescent="0.2">
      <c r="A20" s="2" t="s">
        <v>27</v>
      </c>
      <c r="B20" s="4">
        <f t="shared" si="2"/>
        <v>153</v>
      </c>
      <c r="C20" s="4">
        <f t="shared" si="3"/>
        <v>128</v>
      </c>
      <c r="D20" s="6">
        <f t="shared" si="4"/>
        <v>0</v>
      </c>
      <c r="E20" s="4">
        <f t="shared" si="0"/>
        <v>0</v>
      </c>
      <c r="F20" s="4">
        <f t="shared" si="1"/>
        <v>24</v>
      </c>
      <c r="G20" s="4">
        <f t="shared" si="5"/>
        <v>1</v>
      </c>
      <c r="H20" s="4">
        <f t="shared" si="6"/>
        <v>0</v>
      </c>
      <c r="I20" s="4">
        <f t="shared" si="7"/>
        <v>0</v>
      </c>
      <c r="J20" s="4">
        <f t="shared" si="8"/>
        <v>0</v>
      </c>
      <c r="K20" s="4" t="s">
        <v>7</v>
      </c>
      <c r="L20" s="4" t="s">
        <v>7</v>
      </c>
      <c r="M20" s="4" t="s">
        <v>7</v>
      </c>
      <c r="N20" s="4" t="s">
        <v>7</v>
      </c>
      <c r="O20" s="4" t="s">
        <v>7</v>
      </c>
      <c r="P20" s="4" t="s">
        <v>7</v>
      </c>
      <c r="Q20" s="4" t="s">
        <v>7</v>
      </c>
      <c r="R20" s="4" t="s">
        <v>7</v>
      </c>
      <c r="S20" s="4" t="s">
        <v>7</v>
      </c>
      <c r="T20" s="4" t="s">
        <v>7</v>
      </c>
      <c r="U20" s="4" t="s">
        <v>7</v>
      </c>
      <c r="V20" s="4" t="s">
        <v>7</v>
      </c>
      <c r="W20" s="4" t="s">
        <v>7</v>
      </c>
      <c r="X20" s="4" t="s">
        <v>7</v>
      </c>
      <c r="Y20" s="4" t="s">
        <v>7</v>
      </c>
      <c r="Z20" s="4" t="s">
        <v>7</v>
      </c>
      <c r="AA20" s="4" t="s">
        <v>7</v>
      </c>
      <c r="AB20" s="4" t="s">
        <v>7</v>
      </c>
      <c r="AC20" s="4" t="s">
        <v>7</v>
      </c>
      <c r="AD20" s="4" t="s">
        <v>7</v>
      </c>
      <c r="AE20" s="4" t="s">
        <v>7</v>
      </c>
      <c r="AF20" s="4" t="s">
        <v>7</v>
      </c>
      <c r="AG20" s="4" t="s">
        <v>7</v>
      </c>
      <c r="AH20" s="4" t="s">
        <v>7</v>
      </c>
      <c r="AI20" s="4" t="s">
        <v>7</v>
      </c>
      <c r="AJ20" s="4" t="s">
        <v>7</v>
      </c>
      <c r="AK20" s="4" t="s">
        <v>7</v>
      </c>
      <c r="AL20" s="4" t="s">
        <v>7</v>
      </c>
      <c r="AM20" s="4" t="s">
        <v>7</v>
      </c>
      <c r="AN20" s="4" t="s">
        <v>7</v>
      </c>
      <c r="AO20" s="4" t="s">
        <v>7</v>
      </c>
      <c r="AP20" s="4" t="s">
        <v>7</v>
      </c>
      <c r="AQ20" s="4" t="s">
        <v>7</v>
      </c>
      <c r="AR20" s="4" t="s">
        <v>7</v>
      </c>
      <c r="AS20" s="4" t="s">
        <v>7</v>
      </c>
      <c r="AT20" s="4" t="s">
        <v>7</v>
      </c>
      <c r="AU20" s="4" t="s">
        <v>7</v>
      </c>
      <c r="AV20" s="4" t="s">
        <v>7</v>
      </c>
      <c r="AW20" s="4" t="s">
        <v>7</v>
      </c>
      <c r="AX20" s="4" t="s">
        <v>7</v>
      </c>
      <c r="AY20" s="4" t="s">
        <v>7</v>
      </c>
      <c r="AZ20" s="4" t="s">
        <v>7</v>
      </c>
      <c r="BA20" s="4" t="s">
        <v>7</v>
      </c>
      <c r="BB20" s="4" t="s">
        <v>7</v>
      </c>
      <c r="BC20" s="4" t="s">
        <v>7</v>
      </c>
      <c r="BD20" s="4" t="s">
        <v>7</v>
      </c>
      <c r="BE20" s="4" t="s">
        <v>7</v>
      </c>
      <c r="BF20" s="4" t="s">
        <v>7</v>
      </c>
      <c r="BG20" s="4" t="s">
        <v>7</v>
      </c>
      <c r="BH20" s="4" t="s">
        <v>7</v>
      </c>
      <c r="BI20" s="4" t="s">
        <v>38</v>
      </c>
      <c r="BJ20" s="4" t="s">
        <v>7</v>
      </c>
      <c r="BK20" s="4" t="s">
        <v>7</v>
      </c>
      <c r="BL20" s="4" t="s">
        <v>7</v>
      </c>
      <c r="BM20" s="4" t="s">
        <v>7</v>
      </c>
      <c r="BN20" s="4" t="s">
        <v>7</v>
      </c>
      <c r="BO20" s="4" t="s">
        <v>7</v>
      </c>
      <c r="BP20" s="4" t="s">
        <v>7</v>
      </c>
      <c r="BQ20" s="4" t="s">
        <v>7</v>
      </c>
      <c r="BR20" s="4" t="s">
        <v>7</v>
      </c>
      <c r="BS20" s="4" t="s">
        <v>7</v>
      </c>
      <c r="BT20" s="4" t="s">
        <v>7</v>
      </c>
      <c r="BU20" s="4" t="s">
        <v>7</v>
      </c>
      <c r="BV20" s="4" t="s">
        <v>7</v>
      </c>
      <c r="BW20" s="4" t="s">
        <v>35</v>
      </c>
      <c r="BX20" s="4" t="s">
        <v>7</v>
      </c>
      <c r="BY20" s="4" t="s">
        <v>7</v>
      </c>
      <c r="BZ20" s="4" t="s">
        <v>7</v>
      </c>
      <c r="CA20" s="4" t="s">
        <v>7</v>
      </c>
      <c r="CB20" s="4" t="s">
        <v>7</v>
      </c>
      <c r="CC20" s="4" t="s">
        <v>7</v>
      </c>
      <c r="CD20" s="4" t="s">
        <v>7</v>
      </c>
      <c r="CE20" s="4" t="s">
        <v>7</v>
      </c>
      <c r="CF20" s="4" t="s">
        <v>7</v>
      </c>
      <c r="CG20" s="4" t="s">
        <v>7</v>
      </c>
      <c r="CH20" s="4" t="s">
        <v>7</v>
      </c>
      <c r="CI20" s="4" t="s">
        <v>7</v>
      </c>
      <c r="CJ20" s="4" t="s">
        <v>7</v>
      </c>
      <c r="CK20" s="4" t="s">
        <v>7</v>
      </c>
      <c r="CL20" s="4" t="s">
        <v>7</v>
      </c>
      <c r="CM20" s="4" t="s">
        <v>7</v>
      </c>
      <c r="CN20" s="4" t="s">
        <v>7</v>
      </c>
      <c r="CO20" s="4" t="s">
        <v>7</v>
      </c>
      <c r="CP20" s="4" t="s">
        <v>7</v>
      </c>
      <c r="CQ20" s="4" t="s">
        <v>7</v>
      </c>
      <c r="CR20" s="4" t="s">
        <v>7</v>
      </c>
      <c r="CS20" s="4" t="s">
        <v>7</v>
      </c>
      <c r="CT20" s="4" t="s">
        <v>7</v>
      </c>
      <c r="CU20" s="4" t="s">
        <v>7</v>
      </c>
      <c r="CV20" s="4" t="s">
        <v>7</v>
      </c>
      <c r="CW20" s="4" t="s">
        <v>7</v>
      </c>
      <c r="CX20" s="4" t="s">
        <v>7</v>
      </c>
      <c r="CY20" s="4" t="s">
        <v>7</v>
      </c>
      <c r="CZ20" s="4" t="s">
        <v>7</v>
      </c>
      <c r="DA20" s="4" t="s">
        <v>7</v>
      </c>
      <c r="DB20" s="4" t="s">
        <v>7</v>
      </c>
      <c r="DC20" s="4" t="s">
        <v>7</v>
      </c>
      <c r="DD20" s="4" t="s">
        <v>7</v>
      </c>
      <c r="DE20" s="4" t="s">
        <v>7</v>
      </c>
      <c r="DF20" s="4" t="s">
        <v>7</v>
      </c>
      <c r="DG20" s="4" t="s">
        <v>7</v>
      </c>
      <c r="DH20" s="4" t="s">
        <v>7</v>
      </c>
      <c r="DI20" s="4" t="s">
        <v>7</v>
      </c>
      <c r="DJ20" s="4" t="s">
        <v>35</v>
      </c>
      <c r="DK20" s="4" t="s">
        <v>7</v>
      </c>
      <c r="DL20" s="4" t="s">
        <v>7</v>
      </c>
      <c r="DM20" s="4" t="s">
        <v>7</v>
      </c>
      <c r="DN20" s="4" t="s">
        <v>7</v>
      </c>
      <c r="DO20" s="4" t="s">
        <v>35</v>
      </c>
      <c r="DP20" s="4" t="s">
        <v>7</v>
      </c>
      <c r="DQ20" s="4" t="s">
        <v>7</v>
      </c>
      <c r="DR20" s="4" t="s">
        <v>7</v>
      </c>
      <c r="DS20" s="4" t="s">
        <v>7</v>
      </c>
      <c r="DT20" s="4" t="s">
        <v>7</v>
      </c>
      <c r="DU20" s="4" t="s">
        <v>7</v>
      </c>
      <c r="DV20" s="4" t="s">
        <v>7</v>
      </c>
      <c r="DW20" s="4" t="s">
        <v>7</v>
      </c>
      <c r="DX20" s="4" t="s">
        <v>7</v>
      </c>
      <c r="DY20" s="4" t="s">
        <v>7</v>
      </c>
      <c r="DZ20" s="4" t="s">
        <v>7</v>
      </c>
      <c r="EA20" s="4" t="s">
        <v>7</v>
      </c>
      <c r="EB20" s="4" t="s">
        <v>7</v>
      </c>
      <c r="EC20" s="4" t="s">
        <v>7</v>
      </c>
      <c r="ED20" s="4" t="s">
        <v>7</v>
      </c>
      <c r="EE20" s="4" t="s">
        <v>7</v>
      </c>
      <c r="EF20" s="4" t="s">
        <v>7</v>
      </c>
      <c r="EG20" s="4" t="s">
        <v>7</v>
      </c>
      <c r="EH20" s="4" t="s">
        <v>7</v>
      </c>
      <c r="EI20" s="4" t="s">
        <v>7</v>
      </c>
      <c r="EJ20" s="4" t="s">
        <v>7</v>
      </c>
      <c r="EK20" s="4" t="s">
        <v>7</v>
      </c>
      <c r="EL20" s="4" t="s">
        <v>7</v>
      </c>
      <c r="EM20" s="4" t="s">
        <v>35</v>
      </c>
      <c r="EN20" s="4" t="s">
        <v>35</v>
      </c>
      <c r="EO20" s="4" t="s">
        <v>35</v>
      </c>
      <c r="EP20" s="4" t="s">
        <v>35</v>
      </c>
      <c r="EQ20" s="4" t="s">
        <v>35</v>
      </c>
      <c r="ER20" s="4" t="s">
        <v>35</v>
      </c>
      <c r="ES20" s="4" t="s">
        <v>35</v>
      </c>
      <c r="ET20" s="4" t="s">
        <v>35</v>
      </c>
      <c r="EU20" s="4" t="s">
        <v>35</v>
      </c>
      <c r="EV20" s="4" t="s">
        <v>35</v>
      </c>
      <c r="EW20" s="4" t="s">
        <v>35</v>
      </c>
      <c r="EX20" s="4" t="s">
        <v>35</v>
      </c>
      <c r="EY20" s="4" t="s">
        <v>35</v>
      </c>
      <c r="EZ20" s="4" t="s">
        <v>35</v>
      </c>
      <c r="FA20" s="4" t="s">
        <v>35</v>
      </c>
      <c r="FB20" s="4" t="s">
        <v>35</v>
      </c>
      <c r="FC20" s="4" t="s">
        <v>35</v>
      </c>
      <c r="FD20" s="4" t="s">
        <v>35</v>
      </c>
      <c r="FE20" s="4" t="s">
        <v>35</v>
      </c>
      <c r="FF20" s="4" t="s">
        <v>35</v>
      </c>
      <c r="FG20" s="4" t="s">
        <v>35</v>
      </c>
    </row>
    <row r="21" spans="1:163" x14ac:dyDescent="0.2">
      <c r="A21" s="2" t="s">
        <v>28</v>
      </c>
      <c r="B21" s="4">
        <f t="shared" si="2"/>
        <v>59</v>
      </c>
      <c r="C21" s="4">
        <f t="shared" si="3"/>
        <v>29</v>
      </c>
      <c r="D21" s="6">
        <f t="shared" si="4"/>
        <v>1</v>
      </c>
      <c r="E21" s="4">
        <f t="shared" si="0"/>
        <v>7</v>
      </c>
      <c r="F21" s="4">
        <f t="shared" si="1"/>
        <v>11</v>
      </c>
      <c r="G21" s="4">
        <f t="shared" si="5"/>
        <v>4</v>
      </c>
      <c r="H21" s="4">
        <f t="shared" si="6"/>
        <v>6</v>
      </c>
      <c r="I21" s="4">
        <f t="shared" si="7"/>
        <v>1</v>
      </c>
      <c r="J21" s="4">
        <f t="shared" si="8"/>
        <v>0</v>
      </c>
      <c r="K21" s="4" t="s">
        <v>32</v>
      </c>
      <c r="L21" s="4" t="s">
        <v>32</v>
      </c>
      <c r="M21" s="4" t="s">
        <v>32</v>
      </c>
      <c r="N21" s="4" t="s">
        <v>32</v>
      </c>
      <c r="O21" s="4" t="s">
        <v>7</v>
      </c>
      <c r="P21" s="4" t="s">
        <v>7</v>
      </c>
      <c r="Q21" s="4" t="s">
        <v>32</v>
      </c>
      <c r="R21" s="4" t="s">
        <v>34</v>
      </c>
      <c r="S21" s="4" t="s">
        <v>7</v>
      </c>
      <c r="T21" s="4" t="s">
        <v>7</v>
      </c>
      <c r="U21" s="4" t="s">
        <v>7</v>
      </c>
      <c r="V21" s="4" t="s">
        <v>7</v>
      </c>
      <c r="W21" s="4" t="s">
        <v>7</v>
      </c>
      <c r="X21" s="4" t="s">
        <v>7</v>
      </c>
      <c r="Y21" s="4" t="s">
        <v>7</v>
      </c>
      <c r="Z21" s="4" t="s">
        <v>7</v>
      </c>
      <c r="AA21" s="4" t="s">
        <v>7</v>
      </c>
      <c r="AB21" s="4" t="s">
        <v>7</v>
      </c>
      <c r="AC21" s="4" t="s">
        <v>7</v>
      </c>
      <c r="AD21" s="4" t="s">
        <v>7</v>
      </c>
      <c r="AE21" s="4" t="s">
        <v>7</v>
      </c>
      <c r="AF21" s="4" t="s">
        <v>7</v>
      </c>
      <c r="AG21" s="4" t="s">
        <v>7</v>
      </c>
      <c r="AH21" s="4" t="s">
        <v>40</v>
      </c>
      <c r="AI21" s="4" t="s">
        <v>7</v>
      </c>
      <c r="AJ21" s="4" t="s">
        <v>7</v>
      </c>
      <c r="AK21" s="4" t="s">
        <v>7</v>
      </c>
      <c r="AL21" s="4" t="s">
        <v>40</v>
      </c>
      <c r="AM21" s="4" t="s">
        <v>7</v>
      </c>
      <c r="AN21" s="4" t="s">
        <v>7</v>
      </c>
      <c r="AO21" s="4" t="s">
        <v>7</v>
      </c>
      <c r="AP21" s="4" t="s">
        <v>40</v>
      </c>
      <c r="AQ21" s="4" t="s">
        <v>42</v>
      </c>
      <c r="AR21" s="4" t="s">
        <v>32</v>
      </c>
      <c r="AS21" s="4" t="s">
        <v>32</v>
      </c>
      <c r="AT21" s="4" t="s">
        <v>40</v>
      </c>
      <c r="AU21" s="4" t="s">
        <v>35</v>
      </c>
      <c r="AV21" s="4" t="s">
        <v>7</v>
      </c>
      <c r="AW21" s="4" t="s">
        <v>35</v>
      </c>
      <c r="AX21" s="4" t="s">
        <v>40</v>
      </c>
      <c r="AY21" s="4" t="s">
        <v>35</v>
      </c>
      <c r="AZ21" s="4" t="s">
        <v>35</v>
      </c>
      <c r="BA21" s="4" t="s">
        <v>35</v>
      </c>
      <c r="BB21" s="4" t="s">
        <v>35</v>
      </c>
      <c r="BC21" s="4" t="s">
        <v>7</v>
      </c>
      <c r="BD21" s="4" t="s">
        <v>7</v>
      </c>
      <c r="BE21" s="4" t="s">
        <v>35</v>
      </c>
      <c r="BF21" s="4" t="s">
        <v>35</v>
      </c>
      <c r="BG21" s="4" t="s">
        <v>38</v>
      </c>
      <c r="BH21" s="4" t="s">
        <v>38</v>
      </c>
      <c r="BI21" s="4" t="s">
        <v>38</v>
      </c>
      <c r="BJ21" s="4" t="s">
        <v>38</v>
      </c>
      <c r="BK21" s="4" t="s">
        <v>45</v>
      </c>
      <c r="BL21" s="4" t="s">
        <v>45</v>
      </c>
      <c r="BM21" s="4" t="s">
        <v>45</v>
      </c>
      <c r="BN21" s="4" t="s">
        <v>40</v>
      </c>
      <c r="BO21" s="4" t="s">
        <v>35</v>
      </c>
      <c r="BP21" s="4" t="s">
        <v>35</v>
      </c>
      <c r="BQ21" s="4" t="s">
        <v>35</v>
      </c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</row>
    <row r="22" spans="1:163" x14ac:dyDescent="0.2">
      <c r="A22" s="4" t="s">
        <v>29</v>
      </c>
      <c r="B22" s="4">
        <f t="shared" ref="B22:B26" si="9">COUNTA(K22:VR22)</f>
        <v>153</v>
      </c>
      <c r="C22" s="4">
        <f t="shared" ref="C22:C26" si="10">COUNTIF(K22:VR22,"P")</f>
        <v>144</v>
      </c>
      <c r="D22" s="6">
        <f t="shared" si="4"/>
        <v>7</v>
      </c>
      <c r="E22" s="4">
        <f t="shared" si="0"/>
        <v>0</v>
      </c>
      <c r="F22" s="4">
        <f t="shared" si="1"/>
        <v>1</v>
      </c>
      <c r="G22" s="4">
        <f t="shared" si="5"/>
        <v>1</v>
      </c>
      <c r="H22" s="4">
        <f t="shared" si="6"/>
        <v>0</v>
      </c>
      <c r="I22" s="4">
        <f t="shared" si="7"/>
        <v>0</v>
      </c>
      <c r="J22" s="4">
        <f t="shared" si="8"/>
        <v>0</v>
      </c>
      <c r="K22" s="4" t="s">
        <v>7</v>
      </c>
      <c r="L22" s="4" t="s">
        <v>7</v>
      </c>
      <c r="M22" s="4" t="s">
        <v>7</v>
      </c>
      <c r="N22" s="4" t="s">
        <v>7</v>
      </c>
      <c r="O22" s="4" t="s">
        <v>7</v>
      </c>
      <c r="P22" s="4" t="s">
        <v>7</v>
      </c>
      <c r="Q22" s="4" t="s">
        <v>7</v>
      </c>
      <c r="R22" s="4" t="s">
        <v>7</v>
      </c>
      <c r="S22" s="4" t="s">
        <v>7</v>
      </c>
      <c r="T22" s="4" t="s">
        <v>7</v>
      </c>
      <c r="U22" s="4" t="s">
        <v>7</v>
      </c>
      <c r="V22" s="4" t="s">
        <v>7</v>
      </c>
      <c r="W22" s="4" t="s">
        <v>7</v>
      </c>
      <c r="X22" s="4" t="s">
        <v>7</v>
      </c>
      <c r="Y22" s="4" t="s">
        <v>7</v>
      </c>
      <c r="Z22" s="4" t="s">
        <v>7</v>
      </c>
      <c r="AA22" s="4" t="s">
        <v>7</v>
      </c>
      <c r="AB22" s="4" t="s">
        <v>7</v>
      </c>
      <c r="AC22" s="4" t="s">
        <v>7</v>
      </c>
      <c r="AD22" s="4" t="s">
        <v>7</v>
      </c>
      <c r="AE22" s="4" t="s">
        <v>7</v>
      </c>
      <c r="AF22" s="4" t="s">
        <v>7</v>
      </c>
      <c r="AG22" s="4" t="s">
        <v>7</v>
      </c>
      <c r="AH22" s="4" t="s">
        <v>7</v>
      </c>
      <c r="AI22" s="4" t="s">
        <v>7</v>
      </c>
      <c r="AJ22" s="4" t="s">
        <v>7</v>
      </c>
      <c r="AK22" s="4" t="s">
        <v>7</v>
      </c>
      <c r="AL22" s="4" t="s">
        <v>7</v>
      </c>
      <c r="AM22" s="4" t="s">
        <v>7</v>
      </c>
      <c r="AN22" s="4" t="s">
        <v>7</v>
      </c>
      <c r="AO22" s="4" t="s">
        <v>7</v>
      </c>
      <c r="AP22" s="4" t="s">
        <v>42</v>
      </c>
      <c r="AQ22" s="4" t="s">
        <v>7</v>
      </c>
      <c r="AR22" s="4" t="s">
        <v>7</v>
      </c>
      <c r="AS22" s="4" t="s">
        <v>7</v>
      </c>
      <c r="AT22" s="4" t="s">
        <v>7</v>
      </c>
      <c r="AU22" s="4" t="s">
        <v>7</v>
      </c>
      <c r="AV22" s="4" t="s">
        <v>7</v>
      </c>
      <c r="AW22" s="4" t="s">
        <v>7</v>
      </c>
      <c r="AX22" s="4" t="s">
        <v>7</v>
      </c>
      <c r="AY22" s="4" t="s">
        <v>7</v>
      </c>
      <c r="AZ22" s="4" t="s">
        <v>7</v>
      </c>
      <c r="BA22" s="4" t="s">
        <v>7</v>
      </c>
      <c r="BB22" s="4" t="s">
        <v>7</v>
      </c>
      <c r="BC22" s="4" t="s">
        <v>7</v>
      </c>
      <c r="BD22" s="4" t="s">
        <v>7</v>
      </c>
      <c r="BE22" s="4" t="s">
        <v>7</v>
      </c>
      <c r="BF22" s="4" t="s">
        <v>7</v>
      </c>
      <c r="BG22" s="4" t="s">
        <v>7</v>
      </c>
      <c r="BH22" s="4" t="s">
        <v>7</v>
      </c>
      <c r="BI22" s="4" t="s">
        <v>7</v>
      </c>
      <c r="BJ22" s="4" t="s">
        <v>7</v>
      </c>
      <c r="BK22" s="4" t="s">
        <v>7</v>
      </c>
      <c r="BL22" s="4" t="s">
        <v>7</v>
      </c>
      <c r="BM22" s="4" t="s">
        <v>7</v>
      </c>
      <c r="BN22" s="4" t="s">
        <v>7</v>
      </c>
      <c r="BO22" s="4" t="s">
        <v>7</v>
      </c>
      <c r="BP22" s="4" t="s">
        <v>7</v>
      </c>
      <c r="BQ22" s="4" t="s">
        <v>7</v>
      </c>
      <c r="BR22" s="4" t="s">
        <v>7</v>
      </c>
      <c r="BS22" s="4" t="s">
        <v>7</v>
      </c>
      <c r="BT22" s="4" t="s">
        <v>42</v>
      </c>
      <c r="BU22" s="4" t="s">
        <v>7</v>
      </c>
      <c r="BV22" s="4" t="s">
        <v>7</v>
      </c>
      <c r="BW22" s="4" t="s">
        <v>7</v>
      </c>
      <c r="BX22" s="4" t="s">
        <v>7</v>
      </c>
      <c r="BY22" s="4" t="s">
        <v>7</v>
      </c>
      <c r="BZ22" s="4" t="s">
        <v>7</v>
      </c>
      <c r="CA22" s="4" t="s">
        <v>7</v>
      </c>
      <c r="CB22" s="4" t="s">
        <v>7</v>
      </c>
      <c r="CC22" s="4" t="s">
        <v>7</v>
      </c>
      <c r="CD22" s="4" t="s">
        <v>7</v>
      </c>
      <c r="CE22" s="4" t="s">
        <v>7</v>
      </c>
      <c r="CF22" s="4" t="s">
        <v>7</v>
      </c>
      <c r="CG22" s="4" t="s">
        <v>7</v>
      </c>
      <c r="CH22" s="4" t="s">
        <v>7</v>
      </c>
      <c r="CI22" s="4" t="s">
        <v>7</v>
      </c>
      <c r="CJ22" s="4" t="s">
        <v>7</v>
      </c>
      <c r="CK22" s="4" t="s">
        <v>7</v>
      </c>
      <c r="CL22" s="4" t="s">
        <v>7</v>
      </c>
      <c r="CM22" s="4" t="s">
        <v>7</v>
      </c>
      <c r="CN22" s="4" t="s">
        <v>7</v>
      </c>
      <c r="CO22" s="4" t="s">
        <v>7</v>
      </c>
      <c r="CP22" s="4" t="s">
        <v>7</v>
      </c>
      <c r="CQ22" s="4" t="s">
        <v>7</v>
      </c>
      <c r="CR22" s="4" t="s">
        <v>7</v>
      </c>
      <c r="CS22" s="4" t="s">
        <v>7</v>
      </c>
      <c r="CT22" s="4" t="s">
        <v>7</v>
      </c>
      <c r="CU22" s="4" t="s">
        <v>7</v>
      </c>
      <c r="CV22" s="4" t="s">
        <v>7</v>
      </c>
      <c r="CW22" s="4" t="s">
        <v>7</v>
      </c>
      <c r="CX22" s="4" t="s">
        <v>7</v>
      </c>
      <c r="CY22" s="4" t="s">
        <v>42</v>
      </c>
      <c r="CZ22" s="4" t="s">
        <v>38</v>
      </c>
      <c r="DA22" s="4" t="s">
        <v>7</v>
      </c>
      <c r="DB22" s="4" t="s">
        <v>7</v>
      </c>
      <c r="DC22" s="4" t="s">
        <v>7</v>
      </c>
      <c r="DD22" s="4" t="s">
        <v>7</v>
      </c>
      <c r="DE22" s="4" t="s">
        <v>7</v>
      </c>
      <c r="DF22" s="4" t="s">
        <v>7</v>
      </c>
      <c r="DG22" s="4" t="s">
        <v>7</v>
      </c>
      <c r="DH22" s="4" t="s">
        <v>7</v>
      </c>
      <c r="DI22" s="4" t="s">
        <v>7</v>
      </c>
      <c r="DJ22" s="4" t="s">
        <v>7</v>
      </c>
      <c r="DK22" s="4" t="s">
        <v>7</v>
      </c>
      <c r="DL22" s="4" t="s">
        <v>7</v>
      </c>
      <c r="DM22" s="4" t="s">
        <v>7</v>
      </c>
      <c r="DN22" s="4" t="s">
        <v>7</v>
      </c>
      <c r="DO22" s="4" t="s">
        <v>35</v>
      </c>
      <c r="DP22" s="4" t="s">
        <v>7</v>
      </c>
      <c r="DQ22" s="4" t="s">
        <v>7</v>
      </c>
      <c r="DR22" s="4" t="s">
        <v>7</v>
      </c>
      <c r="DS22" s="4" t="s">
        <v>7</v>
      </c>
      <c r="DT22" s="4" t="s">
        <v>42</v>
      </c>
      <c r="DU22" s="4" t="s">
        <v>7</v>
      </c>
      <c r="DV22" s="4" t="s">
        <v>7</v>
      </c>
      <c r="DW22" s="4" t="s">
        <v>7</v>
      </c>
      <c r="DX22" s="4" t="s">
        <v>7</v>
      </c>
      <c r="DY22" s="4" t="s">
        <v>7</v>
      </c>
      <c r="DZ22" s="4" t="s">
        <v>7</v>
      </c>
      <c r="EA22" s="4" t="s">
        <v>7</v>
      </c>
      <c r="EB22" s="4" t="s">
        <v>7</v>
      </c>
      <c r="EC22" s="4" t="s">
        <v>7</v>
      </c>
      <c r="ED22" s="4" t="s">
        <v>7</v>
      </c>
      <c r="EE22" s="4" t="s">
        <v>7</v>
      </c>
      <c r="EF22" s="4" t="s">
        <v>7</v>
      </c>
      <c r="EG22" s="4" t="s">
        <v>7</v>
      </c>
      <c r="EH22" s="4" t="s">
        <v>7</v>
      </c>
      <c r="EI22" s="4" t="s">
        <v>7</v>
      </c>
      <c r="EJ22" s="4" t="s">
        <v>7</v>
      </c>
      <c r="EK22" s="4" t="s">
        <v>7</v>
      </c>
      <c r="EL22" s="4" t="s">
        <v>7</v>
      </c>
      <c r="EM22" s="4" t="s">
        <v>7</v>
      </c>
      <c r="EN22" s="4" t="s">
        <v>7</v>
      </c>
      <c r="EO22" s="4" t="s">
        <v>7</v>
      </c>
      <c r="EP22" s="4" t="s">
        <v>42</v>
      </c>
      <c r="EQ22" s="4" t="s">
        <v>42</v>
      </c>
      <c r="ER22" s="4" t="s">
        <v>42</v>
      </c>
      <c r="ES22" s="4" t="s">
        <v>7</v>
      </c>
      <c r="ET22" s="4" t="s">
        <v>7</v>
      </c>
      <c r="EU22" s="4" t="s">
        <v>7</v>
      </c>
      <c r="EV22" s="4" t="s">
        <v>7</v>
      </c>
      <c r="EW22" s="4" t="s">
        <v>7</v>
      </c>
      <c r="EX22" s="4" t="s">
        <v>7</v>
      </c>
      <c r="EY22" s="4" t="s">
        <v>7</v>
      </c>
      <c r="EZ22" s="4" t="s">
        <v>7</v>
      </c>
      <c r="FA22" s="4" t="s">
        <v>7</v>
      </c>
      <c r="FB22" s="4" t="s">
        <v>7</v>
      </c>
      <c r="FC22" s="4" t="s">
        <v>7</v>
      </c>
      <c r="FD22" s="4" t="s">
        <v>7</v>
      </c>
      <c r="FE22" s="4" t="s">
        <v>7</v>
      </c>
      <c r="FF22" s="4" t="s">
        <v>7</v>
      </c>
      <c r="FG22" s="4" t="s">
        <v>7</v>
      </c>
    </row>
    <row r="23" spans="1:163" x14ac:dyDescent="0.2">
      <c r="A23" s="2" t="s">
        <v>30</v>
      </c>
      <c r="B23" s="4">
        <f t="shared" si="9"/>
        <v>87</v>
      </c>
      <c r="C23" s="4">
        <f t="shared" si="10"/>
        <v>38</v>
      </c>
      <c r="D23" s="6">
        <f t="shared" si="4"/>
        <v>2</v>
      </c>
      <c r="E23" s="4">
        <f t="shared" si="0"/>
        <v>4</v>
      </c>
      <c r="F23" s="4">
        <f t="shared" si="1"/>
        <v>27</v>
      </c>
      <c r="G23" s="4">
        <f t="shared" si="5"/>
        <v>0</v>
      </c>
      <c r="H23" s="4">
        <f t="shared" si="6"/>
        <v>4</v>
      </c>
      <c r="I23" s="4">
        <f t="shared" si="7"/>
        <v>12</v>
      </c>
      <c r="J23" s="4">
        <f t="shared" si="8"/>
        <v>0</v>
      </c>
      <c r="K23" s="4" t="s">
        <v>7</v>
      </c>
      <c r="L23" s="4" t="s">
        <v>7</v>
      </c>
      <c r="M23" s="4" t="s">
        <v>34</v>
      </c>
      <c r="N23" s="4" t="s">
        <v>34</v>
      </c>
      <c r="O23" s="4" t="s">
        <v>32</v>
      </c>
      <c r="P23" s="4" t="s">
        <v>32</v>
      </c>
      <c r="Q23" s="4" t="s">
        <v>32</v>
      </c>
      <c r="R23" s="4" t="s">
        <v>7</v>
      </c>
      <c r="S23" s="4" t="s">
        <v>7</v>
      </c>
      <c r="T23" s="4" t="s">
        <v>7</v>
      </c>
      <c r="U23" s="4" t="s">
        <v>7</v>
      </c>
      <c r="V23" s="4" t="s">
        <v>7</v>
      </c>
      <c r="W23" s="4" t="s">
        <v>34</v>
      </c>
      <c r="X23" s="4" t="s">
        <v>34</v>
      </c>
      <c r="Y23" s="4" t="s">
        <v>7</v>
      </c>
      <c r="Z23" s="4" t="s">
        <v>7</v>
      </c>
      <c r="AA23" s="4" t="s">
        <v>7</v>
      </c>
      <c r="AB23" s="4" t="s">
        <v>7</v>
      </c>
      <c r="AC23" s="4" t="s">
        <v>7</v>
      </c>
      <c r="AD23" s="4" t="s">
        <v>7</v>
      </c>
      <c r="AE23" s="4" t="s">
        <v>7</v>
      </c>
      <c r="AF23" s="4" t="s">
        <v>7</v>
      </c>
      <c r="AG23" s="4" t="s">
        <v>7</v>
      </c>
      <c r="AH23" s="4" t="s">
        <v>40</v>
      </c>
      <c r="AI23" s="4" t="s">
        <v>7</v>
      </c>
      <c r="AJ23" s="4" t="s">
        <v>7</v>
      </c>
      <c r="AK23" s="4" t="s">
        <v>7</v>
      </c>
      <c r="AL23" s="4" t="s">
        <v>40</v>
      </c>
      <c r="AM23" s="4" t="s">
        <v>7</v>
      </c>
      <c r="AN23" s="4" t="s">
        <v>7</v>
      </c>
      <c r="AO23" s="4" t="s">
        <v>7</v>
      </c>
      <c r="AP23" s="4" t="s">
        <v>7</v>
      </c>
      <c r="AQ23" s="4" t="s">
        <v>42</v>
      </c>
      <c r="AR23" s="4" t="s">
        <v>7</v>
      </c>
      <c r="AS23" s="4" t="s">
        <v>7</v>
      </c>
      <c r="AT23" s="4" t="s">
        <v>40</v>
      </c>
      <c r="AU23" s="4" t="s">
        <v>7</v>
      </c>
      <c r="AV23" s="4" t="s">
        <v>7</v>
      </c>
      <c r="AW23" s="4" t="s">
        <v>35</v>
      </c>
      <c r="AX23" s="4" t="s">
        <v>35</v>
      </c>
      <c r="AY23" s="4" t="s">
        <v>7</v>
      </c>
      <c r="AZ23" s="4" t="s">
        <v>7</v>
      </c>
      <c r="BA23" s="4" t="s">
        <v>7</v>
      </c>
      <c r="BB23" s="4" t="s">
        <v>35</v>
      </c>
      <c r="BC23" s="4" t="s">
        <v>35</v>
      </c>
      <c r="BD23" s="4" t="s">
        <v>35</v>
      </c>
      <c r="BE23" s="4" t="s">
        <v>35</v>
      </c>
      <c r="BF23" s="4" t="s">
        <v>35</v>
      </c>
      <c r="BG23" s="4" t="s">
        <v>35</v>
      </c>
      <c r="BH23" s="4" t="s">
        <v>35</v>
      </c>
      <c r="BI23" s="4" t="s">
        <v>35</v>
      </c>
      <c r="BJ23" s="4" t="s">
        <v>35</v>
      </c>
      <c r="BK23" s="4" t="s">
        <v>35</v>
      </c>
      <c r="BL23" s="4" t="s">
        <v>35</v>
      </c>
      <c r="BM23" s="4" t="s">
        <v>35</v>
      </c>
      <c r="BN23" s="4" t="s">
        <v>35</v>
      </c>
      <c r="BO23" s="4" t="s">
        <v>35</v>
      </c>
      <c r="BP23" s="4" t="s">
        <v>35</v>
      </c>
      <c r="BQ23" s="4" t="s">
        <v>35</v>
      </c>
      <c r="BR23" s="4" t="s">
        <v>34</v>
      </c>
      <c r="BS23" s="4" t="s">
        <v>34</v>
      </c>
      <c r="BT23" s="4" t="s">
        <v>34</v>
      </c>
      <c r="BU23" s="4" t="s">
        <v>34</v>
      </c>
      <c r="BV23" s="4" t="s">
        <v>34</v>
      </c>
      <c r="BW23" s="4" t="s">
        <v>34</v>
      </c>
      <c r="BX23" s="4" t="s">
        <v>34</v>
      </c>
      <c r="BY23" s="4" t="s">
        <v>7</v>
      </c>
      <c r="BZ23" s="4" t="s">
        <v>7</v>
      </c>
      <c r="CA23" s="4" t="s">
        <v>35</v>
      </c>
      <c r="CB23" s="4" t="s">
        <v>7</v>
      </c>
      <c r="CC23" s="4" t="s">
        <v>7</v>
      </c>
      <c r="CD23" s="4" t="s">
        <v>7</v>
      </c>
      <c r="CE23" s="4" t="s">
        <v>42</v>
      </c>
      <c r="CF23" s="4" t="s">
        <v>7</v>
      </c>
      <c r="CG23" s="4" t="s">
        <v>7</v>
      </c>
      <c r="CH23" s="4" t="s">
        <v>7</v>
      </c>
      <c r="CI23" s="4" t="s">
        <v>40</v>
      </c>
      <c r="CJ23" s="4" t="s">
        <v>34</v>
      </c>
      <c r="CK23" s="4" t="s">
        <v>32</v>
      </c>
      <c r="CL23" s="4" t="s">
        <v>35</v>
      </c>
      <c r="CM23" s="4" t="s">
        <v>35</v>
      </c>
      <c r="CN23" s="4" t="s">
        <v>35</v>
      </c>
      <c r="CO23" s="4" t="s">
        <v>35</v>
      </c>
      <c r="CP23" s="4" t="s">
        <v>35</v>
      </c>
      <c r="CQ23" s="4" t="s">
        <v>35</v>
      </c>
      <c r="CR23" s="4" t="s">
        <v>35</v>
      </c>
      <c r="CS23" s="4" t="s">
        <v>35</v>
      </c>
    </row>
    <row r="24" spans="1:163" x14ac:dyDescent="0.2">
      <c r="A24" s="2" t="s">
        <v>31</v>
      </c>
      <c r="B24" s="4">
        <f t="shared" si="9"/>
        <v>153</v>
      </c>
      <c r="C24" s="4">
        <f t="shared" si="10"/>
        <v>143</v>
      </c>
      <c r="D24" s="6">
        <f t="shared" si="4"/>
        <v>2</v>
      </c>
      <c r="E24" s="4">
        <f t="shared" si="0"/>
        <v>1</v>
      </c>
      <c r="F24" s="4">
        <f t="shared" si="1"/>
        <v>6</v>
      </c>
      <c r="G24" s="4">
        <f t="shared" si="5"/>
        <v>0</v>
      </c>
      <c r="H24" s="4">
        <f t="shared" si="6"/>
        <v>0</v>
      </c>
      <c r="I24" s="4">
        <f t="shared" si="7"/>
        <v>1</v>
      </c>
      <c r="J24" s="4">
        <f t="shared" si="8"/>
        <v>0</v>
      </c>
      <c r="K24" s="4" t="s">
        <v>7</v>
      </c>
      <c r="L24" s="4" t="s">
        <v>7</v>
      </c>
      <c r="M24" s="4" t="s">
        <v>7</v>
      </c>
      <c r="N24" s="4" t="s">
        <v>7</v>
      </c>
      <c r="O24" s="4" t="s">
        <v>7</v>
      </c>
      <c r="P24" s="4" t="s">
        <v>7</v>
      </c>
      <c r="Q24" s="4" t="s">
        <v>7</v>
      </c>
      <c r="R24" s="4" t="s">
        <v>7</v>
      </c>
      <c r="S24" s="4" t="s">
        <v>7</v>
      </c>
      <c r="T24" s="4" t="s">
        <v>7</v>
      </c>
      <c r="U24" s="4" t="s">
        <v>7</v>
      </c>
      <c r="V24" s="4" t="s">
        <v>7</v>
      </c>
      <c r="W24" s="4" t="s">
        <v>7</v>
      </c>
      <c r="X24" s="4" t="s">
        <v>7</v>
      </c>
      <c r="Y24" s="4" t="s">
        <v>7</v>
      </c>
      <c r="Z24" s="4" t="s">
        <v>7</v>
      </c>
      <c r="AA24" s="4" t="s">
        <v>7</v>
      </c>
      <c r="AB24" s="4" t="s">
        <v>7</v>
      </c>
      <c r="AC24" s="4" t="s">
        <v>7</v>
      </c>
      <c r="AD24" s="4" t="s">
        <v>34</v>
      </c>
      <c r="AE24" s="4" t="s">
        <v>7</v>
      </c>
      <c r="AF24" s="4" t="s">
        <v>7</v>
      </c>
      <c r="AG24" s="4" t="s">
        <v>7</v>
      </c>
      <c r="AH24" s="4" t="s">
        <v>7</v>
      </c>
      <c r="AI24" s="4" t="s">
        <v>7</v>
      </c>
      <c r="AJ24" s="4" t="s">
        <v>7</v>
      </c>
      <c r="AK24" s="4" t="s">
        <v>7</v>
      </c>
      <c r="AL24" s="4" t="s">
        <v>7</v>
      </c>
      <c r="AM24" s="4" t="s">
        <v>7</v>
      </c>
      <c r="AN24" s="4" t="s">
        <v>7</v>
      </c>
      <c r="AO24" s="4" t="s">
        <v>7</v>
      </c>
      <c r="AP24" s="4" t="s">
        <v>7</v>
      </c>
      <c r="AQ24" s="4" t="s">
        <v>7</v>
      </c>
      <c r="AR24" s="4" t="s">
        <v>7</v>
      </c>
      <c r="AS24" s="4" t="s">
        <v>7</v>
      </c>
      <c r="AT24" s="4" t="s">
        <v>7</v>
      </c>
      <c r="AU24" s="4" t="s">
        <v>7</v>
      </c>
      <c r="AV24" s="4" t="s">
        <v>7</v>
      </c>
      <c r="AW24" s="4" t="s">
        <v>7</v>
      </c>
      <c r="AX24" s="4" t="s">
        <v>7</v>
      </c>
      <c r="AY24" s="4" t="s">
        <v>7</v>
      </c>
      <c r="AZ24" s="4" t="s">
        <v>7</v>
      </c>
      <c r="BA24" s="4" t="s">
        <v>7</v>
      </c>
      <c r="BB24" s="4" t="s">
        <v>7</v>
      </c>
      <c r="BC24" s="4" t="s">
        <v>7</v>
      </c>
      <c r="BD24" s="4" t="s">
        <v>7</v>
      </c>
      <c r="BE24" s="4" t="s">
        <v>7</v>
      </c>
      <c r="BF24" s="4" t="s">
        <v>7</v>
      </c>
      <c r="BG24" s="4" t="s">
        <v>7</v>
      </c>
      <c r="BH24" s="4" t="s">
        <v>7</v>
      </c>
      <c r="BI24" s="4" t="s">
        <v>7</v>
      </c>
      <c r="BJ24" s="4" t="s">
        <v>7</v>
      </c>
      <c r="BK24" s="4" t="s">
        <v>7</v>
      </c>
      <c r="BL24" s="4" t="s">
        <v>7</v>
      </c>
      <c r="BM24" s="4" t="s">
        <v>35</v>
      </c>
      <c r="BN24" s="4" t="s">
        <v>35</v>
      </c>
      <c r="BO24" s="4" t="s">
        <v>35</v>
      </c>
      <c r="BP24" s="4" t="s">
        <v>35</v>
      </c>
      <c r="BQ24" s="4" t="s">
        <v>35</v>
      </c>
      <c r="BR24" s="4" t="s">
        <v>7</v>
      </c>
      <c r="BS24" s="4" t="s">
        <v>7</v>
      </c>
      <c r="BT24" s="4" t="s">
        <v>7</v>
      </c>
      <c r="BU24" s="4" t="s">
        <v>7</v>
      </c>
      <c r="BV24" s="4" t="s">
        <v>32</v>
      </c>
      <c r="BW24" s="4" t="s">
        <v>7</v>
      </c>
      <c r="BX24" s="4" t="s">
        <v>7</v>
      </c>
      <c r="BY24" s="4" t="s">
        <v>7</v>
      </c>
      <c r="BZ24" s="4" t="s">
        <v>7</v>
      </c>
      <c r="CA24" s="4" t="s">
        <v>7</v>
      </c>
      <c r="CB24" s="4" t="s">
        <v>7</v>
      </c>
      <c r="CC24" s="4" t="s">
        <v>7</v>
      </c>
      <c r="CD24" s="4" t="s">
        <v>7</v>
      </c>
      <c r="CE24" s="4" t="s">
        <v>7</v>
      </c>
      <c r="CF24" s="4" t="s">
        <v>7</v>
      </c>
      <c r="CG24" s="4" t="s">
        <v>7</v>
      </c>
      <c r="CH24" s="4" t="s">
        <v>7</v>
      </c>
      <c r="CI24" s="4" t="s">
        <v>7</v>
      </c>
      <c r="CJ24" s="4" t="s">
        <v>7</v>
      </c>
      <c r="CK24" s="4" t="s">
        <v>7</v>
      </c>
      <c r="CL24" s="4" t="s">
        <v>7</v>
      </c>
      <c r="CM24" s="4" t="s">
        <v>7</v>
      </c>
      <c r="CN24" s="4" t="s">
        <v>7</v>
      </c>
      <c r="CO24" s="4" t="s">
        <v>7</v>
      </c>
      <c r="CP24" s="4" t="s">
        <v>7</v>
      </c>
      <c r="CQ24" s="4" t="s">
        <v>7</v>
      </c>
      <c r="CR24" s="4" t="s">
        <v>7</v>
      </c>
      <c r="CS24" s="4" t="s">
        <v>7</v>
      </c>
      <c r="CT24" s="4" t="s">
        <v>7</v>
      </c>
      <c r="CU24" s="4" t="s">
        <v>7</v>
      </c>
      <c r="CV24" s="4" t="s">
        <v>7</v>
      </c>
      <c r="CW24" s="4" t="s">
        <v>7</v>
      </c>
      <c r="CX24" s="4" t="s">
        <v>7</v>
      </c>
      <c r="CY24" s="4" t="s">
        <v>7</v>
      </c>
      <c r="CZ24" s="4" t="s">
        <v>7</v>
      </c>
      <c r="DA24" s="4" t="s">
        <v>7</v>
      </c>
      <c r="DB24" s="4" t="s">
        <v>7</v>
      </c>
      <c r="DC24" s="4" t="s">
        <v>7</v>
      </c>
      <c r="DD24" s="4" t="s">
        <v>7</v>
      </c>
      <c r="DE24" s="4" t="s">
        <v>7</v>
      </c>
      <c r="DF24" s="4" t="s">
        <v>7</v>
      </c>
      <c r="DG24" s="4" t="s">
        <v>7</v>
      </c>
      <c r="DH24" s="4" t="s">
        <v>7</v>
      </c>
      <c r="DI24" s="4" t="s">
        <v>7</v>
      </c>
      <c r="DJ24" s="4" t="s">
        <v>7</v>
      </c>
      <c r="DK24" s="4" t="s">
        <v>7</v>
      </c>
      <c r="DL24" s="4" t="s">
        <v>7</v>
      </c>
      <c r="DM24" s="4" t="s">
        <v>7</v>
      </c>
      <c r="DN24" s="4" t="s">
        <v>35</v>
      </c>
      <c r="DO24" s="4" t="s">
        <v>7</v>
      </c>
      <c r="DP24" s="4" t="s">
        <v>7</v>
      </c>
      <c r="DQ24" s="4" t="s">
        <v>7</v>
      </c>
      <c r="DR24" s="4" t="s">
        <v>7</v>
      </c>
      <c r="DS24" s="4" t="s">
        <v>7</v>
      </c>
      <c r="DT24" s="4" t="s">
        <v>7</v>
      </c>
      <c r="DU24" s="4" t="s">
        <v>7</v>
      </c>
      <c r="DV24" s="4" t="s">
        <v>7</v>
      </c>
      <c r="DW24" s="4" t="s">
        <v>7</v>
      </c>
      <c r="DX24" s="4" t="s">
        <v>7</v>
      </c>
      <c r="DY24" s="4" t="s">
        <v>7</v>
      </c>
      <c r="DZ24" s="4" t="s">
        <v>7</v>
      </c>
      <c r="EA24" s="4" t="s">
        <v>7</v>
      </c>
      <c r="EB24" s="4" t="s">
        <v>7</v>
      </c>
      <c r="EC24" s="4" t="s">
        <v>7</v>
      </c>
      <c r="ED24" s="4" t="s">
        <v>7</v>
      </c>
      <c r="EE24" s="4" t="s">
        <v>7</v>
      </c>
      <c r="EF24" s="4" t="s">
        <v>7</v>
      </c>
      <c r="EG24" s="4" t="s">
        <v>7</v>
      </c>
      <c r="EH24" s="4" t="s">
        <v>7</v>
      </c>
      <c r="EI24" s="4" t="s">
        <v>7</v>
      </c>
      <c r="EJ24" s="4" t="s">
        <v>7</v>
      </c>
      <c r="EK24" s="4" t="s">
        <v>7</v>
      </c>
      <c r="EL24" s="4" t="s">
        <v>7</v>
      </c>
      <c r="EM24" s="4" t="s">
        <v>7</v>
      </c>
      <c r="EN24" s="4" t="s">
        <v>7</v>
      </c>
      <c r="EO24" s="4" t="s">
        <v>7</v>
      </c>
      <c r="EP24" s="4" t="s">
        <v>7</v>
      </c>
      <c r="EQ24" s="4" t="s">
        <v>7</v>
      </c>
      <c r="ER24" s="4" t="s">
        <v>7</v>
      </c>
      <c r="ES24" s="4" t="s">
        <v>7</v>
      </c>
      <c r="ET24" s="4" t="s">
        <v>7</v>
      </c>
      <c r="EU24" s="4" t="s">
        <v>7</v>
      </c>
      <c r="EV24" s="4" t="s">
        <v>7</v>
      </c>
      <c r="EW24" s="4" t="s">
        <v>7</v>
      </c>
      <c r="EX24" s="4" t="s">
        <v>7</v>
      </c>
      <c r="EY24" s="4" t="s">
        <v>42</v>
      </c>
      <c r="EZ24" s="4" t="s">
        <v>42</v>
      </c>
      <c r="FA24" s="4" t="s">
        <v>7</v>
      </c>
      <c r="FB24" s="4" t="s">
        <v>7</v>
      </c>
      <c r="FC24" s="4" t="s">
        <v>7</v>
      </c>
      <c r="FD24" s="4" t="s">
        <v>7</v>
      </c>
      <c r="FE24" s="4" t="s">
        <v>7</v>
      </c>
      <c r="FF24" s="4" t="s">
        <v>7</v>
      </c>
      <c r="FG24" s="4" t="s">
        <v>7</v>
      </c>
    </row>
    <row r="25" spans="1:163" x14ac:dyDescent="0.2">
      <c r="A25" s="2" t="s">
        <v>39</v>
      </c>
      <c r="B25" s="4">
        <f t="shared" si="9"/>
        <v>96</v>
      </c>
      <c r="C25" s="4">
        <f t="shared" si="10"/>
        <v>68</v>
      </c>
      <c r="D25" s="6">
        <f t="shared" si="4"/>
        <v>0</v>
      </c>
      <c r="E25" s="4">
        <f t="shared" si="0"/>
        <v>6</v>
      </c>
      <c r="F25" s="4">
        <f t="shared" si="1"/>
        <v>11</v>
      </c>
      <c r="G25" s="4">
        <f t="shared" si="5"/>
        <v>3</v>
      </c>
      <c r="H25" s="4">
        <f t="shared" si="6"/>
        <v>5</v>
      </c>
      <c r="I25" s="4">
        <f t="shared" si="7"/>
        <v>3</v>
      </c>
      <c r="J25" s="4">
        <f t="shared" si="8"/>
        <v>0</v>
      </c>
      <c r="K25" s="4" t="s">
        <v>7</v>
      </c>
      <c r="L25" s="4" t="s">
        <v>7</v>
      </c>
      <c r="M25" s="4" t="s">
        <v>7</v>
      </c>
      <c r="N25" s="4" t="s">
        <v>7</v>
      </c>
      <c r="O25" s="4" t="s">
        <v>7</v>
      </c>
      <c r="P25" s="4" t="s">
        <v>7</v>
      </c>
      <c r="Q25" s="4" t="s">
        <v>7</v>
      </c>
      <c r="R25" s="4" t="s">
        <v>7</v>
      </c>
      <c r="S25" s="4" t="s">
        <v>7</v>
      </c>
      <c r="T25" s="4" t="s">
        <v>7</v>
      </c>
      <c r="U25" s="4" t="s">
        <v>7</v>
      </c>
      <c r="V25" s="4" t="s">
        <v>7</v>
      </c>
      <c r="W25" s="4" t="s">
        <v>7</v>
      </c>
      <c r="X25" s="4" t="s">
        <v>7</v>
      </c>
      <c r="Y25" s="4" t="s">
        <v>38</v>
      </c>
      <c r="Z25" s="4" t="s">
        <v>38</v>
      </c>
      <c r="AA25" s="4" t="s">
        <v>38</v>
      </c>
      <c r="AB25" s="4" t="s">
        <v>7</v>
      </c>
      <c r="AC25" s="4" t="s">
        <v>7</v>
      </c>
      <c r="AD25" s="4" t="s">
        <v>7</v>
      </c>
      <c r="AE25" s="4" t="s">
        <v>7</v>
      </c>
      <c r="AF25" s="4" t="s">
        <v>7</v>
      </c>
      <c r="AG25" s="4" t="s">
        <v>7</v>
      </c>
      <c r="AH25" s="4" t="s">
        <v>7</v>
      </c>
      <c r="AI25" s="4" t="s">
        <v>7</v>
      </c>
      <c r="AJ25" s="4" t="s">
        <v>7</v>
      </c>
      <c r="AK25" s="4" t="s">
        <v>7</v>
      </c>
      <c r="AL25" s="4" t="s">
        <v>7</v>
      </c>
      <c r="AM25" s="4" t="s">
        <v>7</v>
      </c>
      <c r="AN25" s="4" t="s">
        <v>7</v>
      </c>
      <c r="AO25" s="4" t="s">
        <v>7</v>
      </c>
      <c r="AP25" s="4" t="s">
        <v>7</v>
      </c>
      <c r="AQ25" s="4" t="s">
        <v>7</v>
      </c>
      <c r="AR25" s="4" t="s">
        <v>7</v>
      </c>
      <c r="AS25" s="4" t="s">
        <v>7</v>
      </c>
      <c r="AT25" s="4" t="s">
        <v>7</v>
      </c>
      <c r="AU25" s="4" t="s">
        <v>7</v>
      </c>
      <c r="AV25" s="4" t="s">
        <v>7</v>
      </c>
      <c r="AW25" s="4" t="s">
        <v>7</v>
      </c>
      <c r="AX25" s="4" t="s">
        <v>7</v>
      </c>
      <c r="AY25" s="4" t="s">
        <v>35</v>
      </c>
      <c r="AZ25" s="4" t="s">
        <v>35</v>
      </c>
      <c r="BA25" s="4" t="s">
        <v>35</v>
      </c>
      <c r="BB25" s="4" t="s">
        <v>35</v>
      </c>
      <c r="BC25" s="4" t="s">
        <v>7</v>
      </c>
      <c r="BD25" s="4" t="s">
        <v>7</v>
      </c>
      <c r="BE25" s="4" t="s">
        <v>7</v>
      </c>
      <c r="BF25" s="4" t="s">
        <v>7</v>
      </c>
      <c r="BG25" s="4" t="s">
        <v>7</v>
      </c>
      <c r="BH25" s="4" t="s">
        <v>7</v>
      </c>
      <c r="BI25" s="4" t="s">
        <v>7</v>
      </c>
      <c r="BJ25" s="4" t="s">
        <v>7</v>
      </c>
      <c r="BK25" s="4" t="s">
        <v>7</v>
      </c>
      <c r="BL25" s="4" t="s">
        <v>7</v>
      </c>
      <c r="BM25" s="4" t="s">
        <v>7</v>
      </c>
      <c r="BN25" s="4" t="s">
        <v>7</v>
      </c>
      <c r="BO25" s="4" t="s">
        <v>7</v>
      </c>
      <c r="BP25" s="4" t="s">
        <v>7</v>
      </c>
      <c r="BQ25" s="4" t="s">
        <v>7</v>
      </c>
      <c r="BR25" s="4" t="s">
        <v>7</v>
      </c>
      <c r="BS25" s="4" t="s">
        <v>7</v>
      </c>
      <c r="BT25" s="4" t="s">
        <v>32</v>
      </c>
      <c r="BU25" s="4" t="s">
        <v>32</v>
      </c>
      <c r="BV25" s="4" t="s">
        <v>7</v>
      </c>
      <c r="BW25" s="4" t="s">
        <v>7</v>
      </c>
      <c r="BX25" s="4" t="s">
        <v>7</v>
      </c>
      <c r="BY25" s="4" t="s">
        <v>7</v>
      </c>
      <c r="BZ25" s="4" t="s">
        <v>7</v>
      </c>
      <c r="CA25" s="4" t="s">
        <v>7</v>
      </c>
      <c r="CB25" s="4" t="s">
        <v>7</v>
      </c>
      <c r="CC25" s="4" t="s">
        <v>7</v>
      </c>
      <c r="CD25" s="4" t="s">
        <v>7</v>
      </c>
      <c r="CE25" s="4" t="s">
        <v>7</v>
      </c>
      <c r="CF25" s="4" t="s">
        <v>35</v>
      </c>
      <c r="CG25" s="4" t="s">
        <v>35</v>
      </c>
      <c r="CH25" s="4" t="s">
        <v>35</v>
      </c>
      <c r="CI25" s="4" t="s">
        <v>35</v>
      </c>
      <c r="CJ25" s="4" t="s">
        <v>35</v>
      </c>
      <c r="CK25" s="4" t="s">
        <v>35</v>
      </c>
      <c r="CL25" s="4" t="s">
        <v>35</v>
      </c>
      <c r="CM25" s="4" t="s">
        <v>34</v>
      </c>
      <c r="CN25" s="4" t="s">
        <v>34</v>
      </c>
      <c r="CO25" s="4" t="s">
        <v>34</v>
      </c>
      <c r="CP25" s="4" t="s">
        <v>7</v>
      </c>
      <c r="CQ25" s="4" t="s">
        <v>7</v>
      </c>
      <c r="CR25" s="4" t="s">
        <v>7</v>
      </c>
      <c r="CS25" s="4" t="s">
        <v>7</v>
      </c>
      <c r="CT25" s="4" t="s">
        <v>32</v>
      </c>
      <c r="CU25" s="4" t="s">
        <v>32</v>
      </c>
      <c r="CV25" s="4" t="s">
        <v>32</v>
      </c>
      <c r="CW25" s="4" t="s">
        <v>32</v>
      </c>
      <c r="CX25" s="4" t="s">
        <v>40</v>
      </c>
      <c r="CY25" s="4" t="s">
        <v>40</v>
      </c>
      <c r="CZ25" s="4" t="s">
        <v>40</v>
      </c>
      <c r="DA25" s="4" t="s">
        <v>40</v>
      </c>
      <c r="DB25" s="4" t="s">
        <v>40</v>
      </c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</row>
    <row r="26" spans="1:163" x14ac:dyDescent="0.2">
      <c r="A26" s="2" t="s">
        <v>36</v>
      </c>
      <c r="B26" s="4">
        <f t="shared" si="9"/>
        <v>153</v>
      </c>
      <c r="C26" s="4">
        <f t="shared" si="10"/>
        <v>139</v>
      </c>
      <c r="D26" s="6">
        <f t="shared" si="4"/>
        <v>0</v>
      </c>
      <c r="E26" s="4">
        <f t="shared" si="0"/>
        <v>4</v>
      </c>
      <c r="F26" s="4">
        <f t="shared" si="1"/>
        <v>4</v>
      </c>
      <c r="G26" s="4">
        <f t="shared" si="5"/>
        <v>5</v>
      </c>
      <c r="H26" s="4">
        <f t="shared" si="6"/>
        <v>0</v>
      </c>
      <c r="I26" s="4">
        <f t="shared" si="7"/>
        <v>1</v>
      </c>
      <c r="J26" s="4">
        <f t="shared" si="8"/>
        <v>0</v>
      </c>
      <c r="K26" s="4" t="s">
        <v>7</v>
      </c>
      <c r="L26" s="4" t="s">
        <v>7</v>
      </c>
      <c r="M26" s="4" t="s">
        <v>7</v>
      </c>
      <c r="N26" s="4" t="s">
        <v>7</v>
      </c>
      <c r="O26" s="4" t="s">
        <v>7</v>
      </c>
      <c r="P26" s="4" t="s">
        <v>7</v>
      </c>
      <c r="Q26" s="4" t="s">
        <v>7</v>
      </c>
      <c r="R26" s="4" t="s">
        <v>7</v>
      </c>
      <c r="S26" s="4" t="s">
        <v>7</v>
      </c>
      <c r="T26" s="4" t="s">
        <v>7</v>
      </c>
      <c r="U26" s="4" t="s">
        <v>7</v>
      </c>
      <c r="V26" s="4" t="s">
        <v>7</v>
      </c>
      <c r="W26" s="4" t="s">
        <v>7</v>
      </c>
      <c r="X26" s="4" t="s">
        <v>7</v>
      </c>
      <c r="Y26" s="4" t="s">
        <v>7</v>
      </c>
      <c r="Z26" s="4" t="s">
        <v>7</v>
      </c>
      <c r="AA26" s="4" t="s">
        <v>7</v>
      </c>
      <c r="AB26" s="4" t="s">
        <v>7</v>
      </c>
      <c r="AC26" s="4" t="s">
        <v>7</v>
      </c>
      <c r="AD26" s="4" t="s">
        <v>7</v>
      </c>
      <c r="AE26" s="4" t="s">
        <v>7</v>
      </c>
      <c r="AF26" s="4" t="s">
        <v>7</v>
      </c>
      <c r="AG26" s="4" t="s">
        <v>7</v>
      </c>
      <c r="AH26" s="4" t="s">
        <v>7</v>
      </c>
      <c r="AI26" s="4" t="s">
        <v>7</v>
      </c>
      <c r="AJ26" s="4" t="s">
        <v>7</v>
      </c>
      <c r="AK26" s="4" t="s">
        <v>7</v>
      </c>
      <c r="AL26" s="4" t="s">
        <v>7</v>
      </c>
      <c r="AM26" s="4" t="s">
        <v>7</v>
      </c>
      <c r="AN26" s="4" t="s">
        <v>7</v>
      </c>
      <c r="AO26" s="4" t="s">
        <v>7</v>
      </c>
      <c r="AP26" s="4" t="s">
        <v>7</v>
      </c>
      <c r="AQ26" s="4" t="s">
        <v>7</v>
      </c>
      <c r="AR26" s="4" t="s">
        <v>7</v>
      </c>
      <c r="AS26" s="4" t="s">
        <v>7</v>
      </c>
      <c r="AT26" s="4" t="s">
        <v>7</v>
      </c>
      <c r="AU26" s="4" t="s">
        <v>7</v>
      </c>
      <c r="AV26" s="4" t="s">
        <v>7</v>
      </c>
      <c r="AW26" s="4" t="s">
        <v>7</v>
      </c>
      <c r="AX26" s="4" t="s">
        <v>7</v>
      </c>
      <c r="AY26" s="4" t="s">
        <v>7</v>
      </c>
      <c r="AZ26" s="4" t="s">
        <v>7</v>
      </c>
      <c r="BA26" s="4" t="s">
        <v>7</v>
      </c>
      <c r="BB26" s="4" t="s">
        <v>7</v>
      </c>
      <c r="BC26" s="4" t="s">
        <v>7</v>
      </c>
      <c r="BD26" s="4" t="s">
        <v>7</v>
      </c>
      <c r="BE26" s="4" t="s">
        <v>7</v>
      </c>
      <c r="BF26" s="4" t="s">
        <v>7</v>
      </c>
      <c r="BG26" s="4" t="s">
        <v>7</v>
      </c>
      <c r="BH26" s="4" t="s">
        <v>7</v>
      </c>
      <c r="BI26" s="4" t="s">
        <v>7</v>
      </c>
      <c r="BJ26" s="4" t="s">
        <v>7</v>
      </c>
      <c r="BK26" s="4" t="s">
        <v>7</v>
      </c>
      <c r="BL26" s="4" t="s">
        <v>7</v>
      </c>
      <c r="BM26" s="4" t="s">
        <v>7</v>
      </c>
      <c r="BN26" s="4" t="s">
        <v>7</v>
      </c>
      <c r="BO26" s="4" t="s">
        <v>7</v>
      </c>
      <c r="BP26" s="4" t="s">
        <v>7</v>
      </c>
      <c r="BQ26" s="4" t="s">
        <v>7</v>
      </c>
      <c r="BR26" s="4" t="s">
        <v>7</v>
      </c>
      <c r="BS26" s="4" t="s">
        <v>7</v>
      </c>
      <c r="BT26" s="4" t="s">
        <v>7</v>
      </c>
      <c r="BU26" s="4" t="s">
        <v>38</v>
      </c>
      <c r="BV26" s="4" t="s">
        <v>7</v>
      </c>
      <c r="BW26" s="4" t="s">
        <v>7</v>
      </c>
      <c r="BX26" s="4" t="s">
        <v>7</v>
      </c>
      <c r="BY26" s="4" t="s">
        <v>7</v>
      </c>
      <c r="BZ26" s="4" t="s">
        <v>7</v>
      </c>
      <c r="CA26" s="4" t="s">
        <v>7</v>
      </c>
      <c r="CB26" s="4" t="s">
        <v>7</v>
      </c>
      <c r="CC26" s="4" t="s">
        <v>7</v>
      </c>
      <c r="CD26" s="4" t="s">
        <v>7</v>
      </c>
      <c r="CE26" s="4" t="s">
        <v>7</v>
      </c>
      <c r="CF26" s="4" t="s">
        <v>7</v>
      </c>
      <c r="CG26" s="4" t="s">
        <v>7</v>
      </c>
      <c r="CH26" s="4" t="s">
        <v>7</v>
      </c>
      <c r="CI26" s="4" t="s">
        <v>35</v>
      </c>
      <c r="CJ26" s="4" t="s">
        <v>7</v>
      </c>
      <c r="CK26" s="4" t="s">
        <v>38</v>
      </c>
      <c r="CL26" s="4" t="s">
        <v>38</v>
      </c>
      <c r="CM26" s="4" t="s">
        <v>7</v>
      </c>
      <c r="CN26" s="4" t="s">
        <v>7</v>
      </c>
      <c r="CO26" s="4" t="s">
        <v>7</v>
      </c>
      <c r="CP26" s="4" t="s">
        <v>7</v>
      </c>
      <c r="CQ26" s="4" t="s">
        <v>7</v>
      </c>
      <c r="CR26" s="4" t="s">
        <v>7</v>
      </c>
      <c r="CS26" s="4" t="s">
        <v>7</v>
      </c>
      <c r="CT26" s="4" t="s">
        <v>7</v>
      </c>
      <c r="CU26" s="4" t="s">
        <v>38</v>
      </c>
      <c r="CV26" s="4" t="s">
        <v>38</v>
      </c>
      <c r="CW26" s="4" t="s">
        <v>7</v>
      </c>
      <c r="CX26" s="4" t="s">
        <v>7</v>
      </c>
      <c r="CY26" s="4" t="s">
        <v>7</v>
      </c>
      <c r="CZ26" s="4" t="s">
        <v>7</v>
      </c>
      <c r="DA26" s="4" t="s">
        <v>35</v>
      </c>
      <c r="DB26" s="4" t="s">
        <v>35</v>
      </c>
      <c r="DC26" s="4" t="s">
        <v>34</v>
      </c>
      <c r="DD26" s="4" t="s">
        <v>7</v>
      </c>
      <c r="DE26" s="4" t="s">
        <v>7</v>
      </c>
      <c r="DF26" s="4" t="s">
        <v>32</v>
      </c>
      <c r="DG26" s="4" t="s">
        <v>32</v>
      </c>
      <c r="DH26" s="4" t="s">
        <v>32</v>
      </c>
      <c r="DI26" s="4" t="s">
        <v>32</v>
      </c>
      <c r="DJ26" s="4" t="s">
        <v>7</v>
      </c>
      <c r="DK26" s="4" t="s">
        <v>7</v>
      </c>
      <c r="DL26" s="4" t="s">
        <v>7</v>
      </c>
      <c r="DM26" s="4" t="s">
        <v>7</v>
      </c>
      <c r="DN26" s="4" t="s">
        <v>7</v>
      </c>
      <c r="DO26" s="4" t="s">
        <v>7</v>
      </c>
      <c r="DP26" s="4" t="s">
        <v>7</v>
      </c>
      <c r="DQ26" s="4" t="s">
        <v>7</v>
      </c>
      <c r="DR26" s="4" t="s">
        <v>7</v>
      </c>
      <c r="DS26" s="4" t="s">
        <v>7</v>
      </c>
      <c r="DT26" s="4" t="s">
        <v>7</v>
      </c>
      <c r="DU26" s="4" t="s">
        <v>7</v>
      </c>
      <c r="DV26" s="4" t="s">
        <v>7</v>
      </c>
      <c r="DW26" s="4" t="s">
        <v>7</v>
      </c>
      <c r="DX26" s="4" t="s">
        <v>7</v>
      </c>
      <c r="DY26" s="4" t="s">
        <v>7</v>
      </c>
      <c r="DZ26" s="4" t="s">
        <v>7</v>
      </c>
      <c r="EA26" s="4" t="s">
        <v>7</v>
      </c>
      <c r="EB26" s="4" t="s">
        <v>7</v>
      </c>
      <c r="EC26" s="4" t="s">
        <v>7</v>
      </c>
      <c r="ED26" s="4" t="s">
        <v>7</v>
      </c>
      <c r="EE26" s="4" t="s">
        <v>7</v>
      </c>
      <c r="EF26" s="4" t="s">
        <v>35</v>
      </c>
      <c r="EG26" s="4" t="s">
        <v>7</v>
      </c>
      <c r="EH26" s="4" t="s">
        <v>7</v>
      </c>
      <c r="EI26" s="4" t="s">
        <v>7</v>
      </c>
      <c r="EJ26" s="4" t="s">
        <v>7</v>
      </c>
      <c r="EK26" s="4" t="s">
        <v>7</v>
      </c>
      <c r="EL26" s="4" t="s">
        <v>7</v>
      </c>
      <c r="EM26" s="4" t="s">
        <v>7</v>
      </c>
      <c r="EN26" s="4" t="s">
        <v>7</v>
      </c>
      <c r="EO26" s="4" t="s">
        <v>7</v>
      </c>
      <c r="EP26" s="4" t="s">
        <v>7</v>
      </c>
      <c r="EQ26" s="4" t="s">
        <v>7</v>
      </c>
      <c r="ER26" s="4" t="s">
        <v>7</v>
      </c>
      <c r="ES26" s="4" t="s">
        <v>7</v>
      </c>
      <c r="ET26" s="4" t="s">
        <v>7</v>
      </c>
      <c r="EU26" s="4" t="s">
        <v>7</v>
      </c>
      <c r="EV26" s="4" t="s">
        <v>7</v>
      </c>
      <c r="EW26" s="4" t="s">
        <v>7</v>
      </c>
      <c r="EX26" s="4" t="s">
        <v>7</v>
      </c>
      <c r="EY26" s="4" t="s">
        <v>7</v>
      </c>
      <c r="EZ26" s="4" t="s">
        <v>7</v>
      </c>
      <c r="FA26" s="4" t="s">
        <v>7</v>
      </c>
      <c r="FB26" s="4" t="s">
        <v>7</v>
      </c>
      <c r="FC26" s="4" t="s">
        <v>7</v>
      </c>
      <c r="FD26" s="4" t="s">
        <v>7</v>
      </c>
      <c r="FE26" s="4" t="s">
        <v>7</v>
      </c>
      <c r="FF26" s="4" t="s">
        <v>7</v>
      </c>
      <c r="FG26" s="4" t="s">
        <v>7</v>
      </c>
    </row>
    <row r="27" spans="1:163" x14ac:dyDescent="0.2">
      <c r="A27" s="2" t="s">
        <v>37</v>
      </c>
      <c r="B27" s="4">
        <f t="shared" ref="B27:B29" si="11">COUNTA(K27:VR27)</f>
        <v>143</v>
      </c>
      <c r="C27" s="4">
        <f t="shared" ref="C27:C29" si="12">COUNTIF(K27:VR27,"P")</f>
        <v>104</v>
      </c>
      <c r="D27" s="6">
        <f t="shared" ref="D27:D29" si="13">COUNTIF(K27:VR27,"REP")</f>
        <v>9</v>
      </c>
      <c r="E27" s="4">
        <f t="shared" ref="E27:E29" si="14">COUNTIF(K27:VS27,"A")</f>
        <v>0</v>
      </c>
      <c r="F27" s="4">
        <f t="shared" ref="F27:F29" si="15">COUNTIF(K27:VT27,"B")</f>
        <v>7</v>
      </c>
      <c r="G27" s="4">
        <f t="shared" ref="G27:G29" si="16">COUNTIF(K27:VU27,"M")</f>
        <v>1</v>
      </c>
      <c r="H27" s="4">
        <f t="shared" ref="H27:H29" si="17">COUNTIF(K27:VV27,"R")</f>
        <v>0</v>
      </c>
      <c r="I27" s="4">
        <f t="shared" ref="I27:I29" si="18">COUNTIF(K27:VW27,"RH")</f>
        <v>22</v>
      </c>
      <c r="J27" s="4">
        <f t="shared" ref="J27:J29" si="19">COUNTIF(K27:VW27,"S")</f>
        <v>0</v>
      </c>
      <c r="U27" s="4" t="s">
        <v>34</v>
      </c>
      <c r="V27" s="4" t="s">
        <v>34</v>
      </c>
      <c r="W27" s="4" t="s">
        <v>34</v>
      </c>
      <c r="X27" s="4" t="s">
        <v>34</v>
      </c>
      <c r="Y27" s="4" t="s">
        <v>34</v>
      </c>
      <c r="Z27" s="4" t="s">
        <v>34</v>
      </c>
      <c r="AA27" s="4" t="s">
        <v>34</v>
      </c>
      <c r="AB27" s="4" t="s">
        <v>34</v>
      </c>
      <c r="AC27" s="4" t="s">
        <v>34</v>
      </c>
      <c r="AD27" s="4" t="s">
        <v>34</v>
      </c>
      <c r="AE27" s="4" t="s">
        <v>34</v>
      </c>
      <c r="AF27" s="4" t="s">
        <v>34</v>
      </c>
      <c r="AG27" s="4" t="s">
        <v>34</v>
      </c>
      <c r="AH27" s="4" t="s">
        <v>34</v>
      </c>
      <c r="AI27" s="4" t="s">
        <v>34</v>
      </c>
      <c r="AJ27" s="4" t="s">
        <v>34</v>
      </c>
      <c r="AK27" s="4" t="s">
        <v>34</v>
      </c>
      <c r="AL27" s="4" t="s">
        <v>34</v>
      </c>
      <c r="AM27" s="4" t="s">
        <v>34</v>
      </c>
      <c r="AN27" s="4" t="s">
        <v>34</v>
      </c>
      <c r="AO27" s="4" t="s">
        <v>34</v>
      </c>
      <c r="AP27" s="4" t="s">
        <v>34</v>
      </c>
      <c r="AQ27" s="4" t="s">
        <v>7</v>
      </c>
      <c r="AR27" s="4" t="s">
        <v>7</v>
      </c>
      <c r="AS27" s="4" t="s">
        <v>7</v>
      </c>
      <c r="AT27" s="4" t="s">
        <v>38</v>
      </c>
      <c r="AU27" s="4" t="s">
        <v>7</v>
      </c>
      <c r="AV27" s="4" t="s">
        <v>7</v>
      </c>
      <c r="AW27" s="4" t="s">
        <v>7</v>
      </c>
      <c r="AX27" s="4" t="s">
        <v>42</v>
      </c>
      <c r="AY27" s="4" t="s">
        <v>42</v>
      </c>
      <c r="AZ27" s="4" t="s">
        <v>7</v>
      </c>
      <c r="BA27" s="4" t="s">
        <v>7</v>
      </c>
      <c r="BB27" s="4" t="s">
        <v>42</v>
      </c>
      <c r="BC27" s="4" t="s">
        <v>7</v>
      </c>
      <c r="BD27" s="4" t="s">
        <v>7</v>
      </c>
      <c r="BE27" s="4" t="s">
        <v>7</v>
      </c>
      <c r="BF27" s="4" t="s">
        <v>42</v>
      </c>
      <c r="BG27" s="4" t="s">
        <v>7</v>
      </c>
      <c r="BH27" s="4" t="s">
        <v>7</v>
      </c>
      <c r="BI27" s="4" t="s">
        <v>7</v>
      </c>
      <c r="BJ27" s="4" t="s">
        <v>7</v>
      </c>
      <c r="BK27" s="4" t="s">
        <v>7</v>
      </c>
      <c r="BL27" s="4" t="s">
        <v>7</v>
      </c>
      <c r="BM27" s="4" t="s">
        <v>7</v>
      </c>
      <c r="BN27" s="4" t="s">
        <v>7</v>
      </c>
      <c r="BO27" s="4" t="s">
        <v>7</v>
      </c>
      <c r="BP27" s="4" t="s">
        <v>7</v>
      </c>
      <c r="BQ27" s="4" t="s">
        <v>7</v>
      </c>
      <c r="BR27" s="4" t="s">
        <v>7</v>
      </c>
      <c r="BS27" s="4" t="s">
        <v>7</v>
      </c>
      <c r="BT27" s="4" t="s">
        <v>42</v>
      </c>
      <c r="BU27" s="4" t="s">
        <v>7</v>
      </c>
      <c r="BV27" s="4" t="s">
        <v>7</v>
      </c>
      <c r="BW27" s="4" t="s">
        <v>7</v>
      </c>
      <c r="BX27" s="4" t="s">
        <v>7</v>
      </c>
      <c r="BY27" s="4" t="s">
        <v>7</v>
      </c>
      <c r="BZ27" s="4" t="s">
        <v>7</v>
      </c>
      <c r="CA27" s="4" t="s">
        <v>7</v>
      </c>
      <c r="CB27" s="4" t="s">
        <v>7</v>
      </c>
      <c r="CC27" s="4" t="s">
        <v>7</v>
      </c>
      <c r="CD27" s="4" t="s">
        <v>7</v>
      </c>
      <c r="CE27" s="4" t="s">
        <v>7</v>
      </c>
      <c r="CF27" s="4" t="s">
        <v>7</v>
      </c>
      <c r="CG27" s="4" t="s">
        <v>7</v>
      </c>
      <c r="CH27" s="4" t="s">
        <v>7</v>
      </c>
      <c r="CI27" s="4" t="s">
        <v>7</v>
      </c>
      <c r="CJ27" s="4" t="s">
        <v>7</v>
      </c>
      <c r="CK27" s="4" t="s">
        <v>7</v>
      </c>
      <c r="CL27" s="4" t="s">
        <v>7</v>
      </c>
      <c r="CM27" s="4" t="s">
        <v>7</v>
      </c>
      <c r="CN27" s="4" t="s">
        <v>7</v>
      </c>
      <c r="CO27" s="4" t="s">
        <v>7</v>
      </c>
      <c r="CP27" s="4" t="s">
        <v>7</v>
      </c>
      <c r="CQ27" s="4" t="s">
        <v>7</v>
      </c>
      <c r="CR27" s="4" t="s">
        <v>42</v>
      </c>
      <c r="CS27" s="4" t="s">
        <v>7</v>
      </c>
      <c r="CT27" s="4" t="s">
        <v>7</v>
      </c>
      <c r="CU27" s="4" t="s">
        <v>7</v>
      </c>
      <c r="CV27" s="4" t="s">
        <v>7</v>
      </c>
      <c r="CW27" s="4" t="s">
        <v>7</v>
      </c>
      <c r="CX27" s="4" t="s">
        <v>7</v>
      </c>
      <c r="CY27" s="4" t="s">
        <v>7</v>
      </c>
      <c r="CZ27" s="4" t="s">
        <v>7</v>
      </c>
      <c r="DA27" s="4" t="s">
        <v>7</v>
      </c>
      <c r="DB27" s="4" t="s">
        <v>7</v>
      </c>
      <c r="DC27" s="4" t="s">
        <v>42</v>
      </c>
      <c r="DD27" s="4" t="s">
        <v>7</v>
      </c>
      <c r="DE27" s="4" t="s">
        <v>7</v>
      </c>
      <c r="DF27" s="4" t="s">
        <v>7</v>
      </c>
      <c r="DG27" s="4" t="s">
        <v>7</v>
      </c>
      <c r="DH27" s="4" t="s">
        <v>7</v>
      </c>
      <c r="DI27" s="4" t="s">
        <v>7</v>
      </c>
      <c r="DJ27" s="4" t="s">
        <v>7</v>
      </c>
      <c r="DK27" s="4" t="s">
        <v>7</v>
      </c>
      <c r="DL27" s="4" t="s">
        <v>7</v>
      </c>
      <c r="DM27" s="4" t="s">
        <v>7</v>
      </c>
      <c r="DN27" s="4" t="s">
        <v>7</v>
      </c>
      <c r="DO27" s="4" t="s">
        <v>7</v>
      </c>
      <c r="DP27" s="4" t="s">
        <v>7</v>
      </c>
      <c r="DQ27" s="4" t="s">
        <v>7</v>
      </c>
      <c r="DR27" s="4" t="s">
        <v>7</v>
      </c>
      <c r="DS27" s="4" t="s">
        <v>7</v>
      </c>
      <c r="DT27" s="4" t="s">
        <v>7</v>
      </c>
      <c r="DU27" s="4" t="s">
        <v>7</v>
      </c>
      <c r="DV27" s="4" t="s">
        <v>7</v>
      </c>
      <c r="DW27" s="4" t="s">
        <v>7</v>
      </c>
      <c r="DX27" s="4" t="s">
        <v>7</v>
      </c>
      <c r="DY27" s="4" t="s">
        <v>7</v>
      </c>
      <c r="DZ27" s="4" t="s">
        <v>7</v>
      </c>
      <c r="EA27" s="4" t="s">
        <v>7</v>
      </c>
      <c r="EB27" s="4" t="s">
        <v>7</v>
      </c>
      <c r="EC27" s="4" t="s">
        <v>7</v>
      </c>
      <c r="ED27" s="4" t="s">
        <v>7</v>
      </c>
      <c r="EE27" s="4" t="s">
        <v>7</v>
      </c>
      <c r="EF27" s="4" t="s">
        <v>7</v>
      </c>
      <c r="EG27" s="4" t="s">
        <v>7</v>
      </c>
      <c r="EH27" s="4" t="s">
        <v>7</v>
      </c>
      <c r="EI27" s="4" t="s">
        <v>7</v>
      </c>
      <c r="EJ27" s="4" t="s">
        <v>35</v>
      </c>
      <c r="EK27" s="4" t="s">
        <v>35</v>
      </c>
      <c r="EL27" s="4" t="s">
        <v>35</v>
      </c>
      <c r="EM27" s="4" t="s">
        <v>7</v>
      </c>
      <c r="EN27" s="4" t="s">
        <v>7</v>
      </c>
      <c r="EO27" s="4" t="s">
        <v>7</v>
      </c>
      <c r="EP27" s="4" t="s">
        <v>7</v>
      </c>
      <c r="EQ27" s="4" t="s">
        <v>7</v>
      </c>
      <c r="ER27" s="4" t="s">
        <v>42</v>
      </c>
      <c r="ES27" s="4" t="s">
        <v>42</v>
      </c>
      <c r="ET27" s="4" t="s">
        <v>35</v>
      </c>
      <c r="EU27" s="4" t="s">
        <v>35</v>
      </c>
      <c r="EV27" s="4" t="s">
        <v>35</v>
      </c>
      <c r="EW27" s="4" t="s">
        <v>35</v>
      </c>
      <c r="EX27" s="4" t="s">
        <v>7</v>
      </c>
      <c r="EY27" s="4" t="s">
        <v>7</v>
      </c>
      <c r="EZ27" s="4" t="s">
        <v>7</v>
      </c>
      <c r="FA27" s="4" t="s">
        <v>7</v>
      </c>
      <c r="FB27" s="4" t="s">
        <v>7</v>
      </c>
      <c r="FC27" s="4" t="s">
        <v>7</v>
      </c>
      <c r="FD27" s="4" t="s">
        <v>7</v>
      </c>
      <c r="FE27" s="4" t="s">
        <v>7</v>
      </c>
      <c r="FF27" s="4" t="s">
        <v>7</v>
      </c>
      <c r="FG27" s="4" t="s">
        <v>7</v>
      </c>
    </row>
    <row r="28" spans="1:163" x14ac:dyDescent="0.2">
      <c r="A28" s="2" t="s">
        <v>44</v>
      </c>
      <c r="B28" s="4">
        <f t="shared" si="11"/>
        <v>97</v>
      </c>
      <c r="C28" s="4">
        <f t="shared" si="12"/>
        <v>94</v>
      </c>
      <c r="D28" s="6">
        <f t="shared" si="13"/>
        <v>1</v>
      </c>
      <c r="E28" s="4">
        <f t="shared" si="14"/>
        <v>1</v>
      </c>
      <c r="F28" s="4">
        <f t="shared" si="15"/>
        <v>0</v>
      </c>
      <c r="G28" s="4">
        <f t="shared" si="16"/>
        <v>1</v>
      </c>
      <c r="H28" s="4">
        <f t="shared" si="17"/>
        <v>0</v>
      </c>
      <c r="I28" s="4">
        <f t="shared" si="18"/>
        <v>0</v>
      </c>
      <c r="J28" s="4">
        <f t="shared" si="19"/>
        <v>0</v>
      </c>
      <c r="AQ28" s="4" t="s">
        <v>42</v>
      </c>
      <c r="AR28" s="4" t="s">
        <v>7</v>
      </c>
      <c r="AS28" s="4" t="s">
        <v>7</v>
      </c>
      <c r="AT28" s="4" t="s">
        <v>7</v>
      </c>
      <c r="AU28" s="4" t="s">
        <v>7</v>
      </c>
      <c r="AV28" s="4" t="s">
        <v>7</v>
      </c>
      <c r="AW28" s="4" t="s">
        <v>7</v>
      </c>
      <c r="AX28" s="4" t="s">
        <v>7</v>
      </c>
      <c r="AY28" s="4" t="s">
        <v>7</v>
      </c>
      <c r="AZ28" s="4" t="s">
        <v>7</v>
      </c>
      <c r="BA28" s="4" t="s">
        <v>7</v>
      </c>
      <c r="BB28" s="4" t="s">
        <v>7</v>
      </c>
      <c r="BC28" s="4" t="s">
        <v>7</v>
      </c>
      <c r="BD28" s="4" t="s">
        <v>7</v>
      </c>
      <c r="BE28" s="4" t="s">
        <v>7</v>
      </c>
      <c r="BF28" s="4" t="s">
        <v>7</v>
      </c>
      <c r="BG28" s="4" t="s">
        <v>7</v>
      </c>
      <c r="BH28" s="4" t="s">
        <v>7</v>
      </c>
      <c r="BI28" s="4" t="s">
        <v>7</v>
      </c>
      <c r="BJ28" s="4" t="s">
        <v>7</v>
      </c>
      <c r="BK28" s="4" t="s">
        <v>7</v>
      </c>
      <c r="BL28" s="4" t="s">
        <v>7</v>
      </c>
      <c r="BM28" s="4" t="s">
        <v>7</v>
      </c>
      <c r="BN28" s="4" t="s">
        <v>7</v>
      </c>
      <c r="BO28" s="4" t="s">
        <v>7</v>
      </c>
      <c r="BP28" s="4" t="s">
        <v>7</v>
      </c>
      <c r="BQ28" s="4" t="s">
        <v>7</v>
      </c>
      <c r="BR28" s="4" t="s">
        <v>7</v>
      </c>
      <c r="BS28" s="4" t="s">
        <v>7</v>
      </c>
      <c r="BT28" s="4" t="s">
        <v>7</v>
      </c>
      <c r="BU28" s="4" t="s">
        <v>7</v>
      </c>
      <c r="BV28" s="4" t="s">
        <v>7</v>
      </c>
      <c r="BW28" s="4" t="s">
        <v>7</v>
      </c>
      <c r="BX28" s="4" t="s">
        <v>7</v>
      </c>
      <c r="BY28" s="4" t="s">
        <v>7</v>
      </c>
      <c r="BZ28" s="4" t="s">
        <v>7</v>
      </c>
      <c r="CA28" s="4" t="s">
        <v>7</v>
      </c>
      <c r="CB28" s="4" t="s">
        <v>7</v>
      </c>
      <c r="CC28" s="4" t="s">
        <v>7</v>
      </c>
      <c r="CD28" s="4" t="s">
        <v>7</v>
      </c>
      <c r="CE28" s="4" t="s">
        <v>7</v>
      </c>
      <c r="CF28" s="4" t="s">
        <v>7</v>
      </c>
      <c r="CG28" s="4" t="s">
        <v>7</v>
      </c>
      <c r="CH28" s="4" t="s">
        <v>7</v>
      </c>
      <c r="CI28" s="4" t="s">
        <v>7</v>
      </c>
      <c r="CJ28" s="4" t="s">
        <v>7</v>
      </c>
      <c r="CK28" s="4" t="s">
        <v>7</v>
      </c>
      <c r="CL28" s="4" t="s">
        <v>7</v>
      </c>
      <c r="CM28" s="4" t="s">
        <v>7</v>
      </c>
      <c r="CN28" s="4" t="s">
        <v>7</v>
      </c>
      <c r="CO28" s="4" t="s">
        <v>7</v>
      </c>
      <c r="CP28" s="4" t="s">
        <v>7</v>
      </c>
      <c r="CQ28" s="4" t="s">
        <v>7</v>
      </c>
      <c r="CR28" s="4" t="s">
        <v>7</v>
      </c>
      <c r="CS28" s="4" t="s">
        <v>7</v>
      </c>
      <c r="CT28" s="4" t="s">
        <v>7</v>
      </c>
      <c r="CU28" s="4" t="s">
        <v>7</v>
      </c>
      <c r="CV28" s="4" t="s">
        <v>7</v>
      </c>
      <c r="CW28" s="4" t="s">
        <v>7</v>
      </c>
      <c r="CX28" s="4" t="s">
        <v>7</v>
      </c>
      <c r="CY28" s="4" t="s">
        <v>7</v>
      </c>
      <c r="CZ28" s="4" t="s">
        <v>7</v>
      </c>
      <c r="DA28" s="4" t="s">
        <v>7</v>
      </c>
      <c r="DB28" s="4" t="s">
        <v>7</v>
      </c>
      <c r="DC28" s="4" t="s">
        <v>38</v>
      </c>
      <c r="DD28" s="4" t="s">
        <v>7</v>
      </c>
      <c r="DE28" s="4" t="s">
        <v>7</v>
      </c>
      <c r="DF28" s="4" t="s">
        <v>7</v>
      </c>
      <c r="DG28" s="4" t="s">
        <v>7</v>
      </c>
      <c r="DH28" s="4" t="s">
        <v>7</v>
      </c>
      <c r="DI28" s="4" t="s">
        <v>7</v>
      </c>
      <c r="DJ28" s="4" t="s">
        <v>7</v>
      </c>
      <c r="DK28" s="4" t="s">
        <v>7</v>
      </c>
      <c r="DL28" s="4" t="s">
        <v>7</v>
      </c>
      <c r="DM28" s="4" t="s">
        <v>7</v>
      </c>
      <c r="DN28" s="4" t="s">
        <v>7</v>
      </c>
      <c r="DO28" s="4" t="s">
        <v>7</v>
      </c>
      <c r="DP28" s="4" t="s">
        <v>7</v>
      </c>
      <c r="DQ28" s="4" t="s">
        <v>7</v>
      </c>
      <c r="DR28" s="4" t="s">
        <v>7</v>
      </c>
      <c r="DS28" s="4" t="s">
        <v>7</v>
      </c>
      <c r="DT28" s="4" t="s">
        <v>7</v>
      </c>
      <c r="DU28" s="4" t="s">
        <v>7</v>
      </c>
      <c r="DV28" s="4" t="s">
        <v>32</v>
      </c>
      <c r="DW28" s="4" t="s">
        <v>7</v>
      </c>
      <c r="DX28" s="4" t="s">
        <v>7</v>
      </c>
      <c r="DY28" s="4" t="s">
        <v>7</v>
      </c>
      <c r="DZ28" s="4" t="s">
        <v>7</v>
      </c>
      <c r="EA28" s="4" t="s">
        <v>7</v>
      </c>
      <c r="EB28" s="4" t="s">
        <v>7</v>
      </c>
      <c r="EC28" s="4" t="s">
        <v>7</v>
      </c>
      <c r="ED28" s="4" t="s">
        <v>7</v>
      </c>
      <c r="EE28" s="4" t="s">
        <v>7</v>
      </c>
      <c r="EF28" s="4" t="s">
        <v>7</v>
      </c>
      <c r="EG28" s="4" t="s">
        <v>7</v>
      </c>
      <c r="EH28" s="4" t="s">
        <v>7</v>
      </c>
      <c r="EI28" s="4" t="s">
        <v>7</v>
      </c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</row>
    <row r="29" spans="1:163" x14ac:dyDescent="0.2">
      <c r="A29" s="2" t="s">
        <v>43</v>
      </c>
      <c r="B29" s="4">
        <f t="shared" si="11"/>
        <v>121</v>
      </c>
      <c r="C29" s="4">
        <f t="shared" si="12"/>
        <v>113</v>
      </c>
      <c r="D29" s="6">
        <f t="shared" si="13"/>
        <v>0</v>
      </c>
      <c r="E29" s="4">
        <f t="shared" si="14"/>
        <v>0</v>
      </c>
      <c r="F29" s="4">
        <f t="shared" si="15"/>
        <v>4</v>
      </c>
      <c r="G29" s="4">
        <f t="shared" si="16"/>
        <v>1</v>
      </c>
      <c r="H29" s="4">
        <f t="shared" si="17"/>
        <v>0</v>
      </c>
      <c r="I29" s="4">
        <f t="shared" si="18"/>
        <v>3</v>
      </c>
      <c r="J29" s="4">
        <f t="shared" si="19"/>
        <v>0</v>
      </c>
      <c r="AQ29" s="4" t="s">
        <v>7</v>
      </c>
      <c r="AR29" s="4" t="s">
        <v>7</v>
      </c>
      <c r="AS29" s="4" t="s">
        <v>7</v>
      </c>
      <c r="AT29" s="4" t="s">
        <v>7</v>
      </c>
      <c r="AU29" s="4" t="s">
        <v>7</v>
      </c>
      <c r="AV29" s="4" t="s">
        <v>7</v>
      </c>
      <c r="AW29" s="4" t="s">
        <v>7</v>
      </c>
      <c r="AX29" s="4" t="s">
        <v>7</v>
      </c>
      <c r="AY29" s="4" t="s">
        <v>7</v>
      </c>
      <c r="AZ29" s="4" t="s">
        <v>7</v>
      </c>
      <c r="BA29" s="4" t="s">
        <v>7</v>
      </c>
      <c r="BB29" s="4" t="s">
        <v>38</v>
      </c>
      <c r="BC29" s="4" t="s">
        <v>7</v>
      </c>
      <c r="BD29" s="4" t="s">
        <v>7</v>
      </c>
      <c r="BE29" s="4" t="s">
        <v>7</v>
      </c>
      <c r="BF29" s="4" t="s">
        <v>7</v>
      </c>
      <c r="BG29" s="4" t="s">
        <v>7</v>
      </c>
      <c r="BH29" s="4" t="s">
        <v>7</v>
      </c>
      <c r="BI29" s="4" t="s">
        <v>7</v>
      </c>
      <c r="BJ29" s="4" t="s">
        <v>7</v>
      </c>
      <c r="BK29" s="4" t="s">
        <v>7</v>
      </c>
      <c r="BL29" s="4" t="s">
        <v>7</v>
      </c>
      <c r="BM29" s="4" t="s">
        <v>7</v>
      </c>
      <c r="BN29" s="4" t="s">
        <v>7</v>
      </c>
      <c r="BO29" s="4" t="s">
        <v>7</v>
      </c>
      <c r="BP29" s="4" t="s">
        <v>7</v>
      </c>
      <c r="BQ29" s="4" t="s">
        <v>7</v>
      </c>
      <c r="BR29" s="4" t="s">
        <v>7</v>
      </c>
      <c r="BS29" s="4" t="s">
        <v>7</v>
      </c>
      <c r="BT29" s="4" t="s">
        <v>7</v>
      </c>
      <c r="BU29" s="4" t="s">
        <v>35</v>
      </c>
      <c r="BV29" s="4" t="s">
        <v>35</v>
      </c>
      <c r="BW29" s="4" t="s">
        <v>35</v>
      </c>
      <c r="BX29" s="4" t="s">
        <v>35</v>
      </c>
      <c r="BY29" s="4" t="s">
        <v>34</v>
      </c>
      <c r="BZ29" s="4" t="s">
        <v>34</v>
      </c>
      <c r="CA29" s="4" t="s">
        <v>34</v>
      </c>
      <c r="CB29" s="4" t="s">
        <v>7</v>
      </c>
      <c r="CC29" s="4" t="s">
        <v>7</v>
      </c>
      <c r="CD29" s="4" t="s">
        <v>7</v>
      </c>
      <c r="CE29" s="4" t="s">
        <v>7</v>
      </c>
      <c r="CF29" s="4" t="s">
        <v>7</v>
      </c>
      <c r="CG29" s="4" t="s">
        <v>7</v>
      </c>
      <c r="CH29" s="4" t="s">
        <v>7</v>
      </c>
      <c r="CI29" s="4" t="s">
        <v>7</v>
      </c>
      <c r="CJ29" s="4" t="s">
        <v>7</v>
      </c>
      <c r="CK29" s="4" t="s">
        <v>7</v>
      </c>
      <c r="CL29" s="4" t="s">
        <v>7</v>
      </c>
      <c r="CM29" s="4" t="s">
        <v>7</v>
      </c>
      <c r="CN29" s="4" t="s">
        <v>7</v>
      </c>
      <c r="CO29" s="4" t="s">
        <v>7</v>
      </c>
      <c r="CP29" s="4" t="s">
        <v>7</v>
      </c>
      <c r="CQ29" s="4" t="s">
        <v>7</v>
      </c>
      <c r="CR29" s="4" t="s">
        <v>7</v>
      </c>
      <c r="CS29" s="4" t="s">
        <v>7</v>
      </c>
      <c r="CT29" s="4" t="s">
        <v>7</v>
      </c>
      <c r="CU29" s="4" t="s">
        <v>7</v>
      </c>
      <c r="CV29" s="4" t="s">
        <v>7</v>
      </c>
      <c r="CW29" s="4" t="s">
        <v>7</v>
      </c>
      <c r="CX29" s="4" t="s">
        <v>7</v>
      </c>
      <c r="CY29" s="4" t="s">
        <v>7</v>
      </c>
      <c r="CZ29" s="4" t="s">
        <v>7</v>
      </c>
      <c r="DA29" s="4" t="s">
        <v>7</v>
      </c>
      <c r="DB29" s="4" t="s">
        <v>7</v>
      </c>
      <c r="DC29" s="4" t="s">
        <v>7</v>
      </c>
      <c r="DD29" s="4" t="s">
        <v>7</v>
      </c>
      <c r="DE29" s="4" t="s">
        <v>7</v>
      </c>
      <c r="DF29" s="4" t="s">
        <v>7</v>
      </c>
      <c r="DG29" s="4" t="s">
        <v>7</v>
      </c>
      <c r="DH29" s="4" t="s">
        <v>7</v>
      </c>
      <c r="DI29" s="4" t="s">
        <v>7</v>
      </c>
      <c r="DJ29" s="4" t="s">
        <v>7</v>
      </c>
      <c r="DK29" s="4" t="s">
        <v>7</v>
      </c>
      <c r="DL29" s="4" t="s">
        <v>7</v>
      </c>
      <c r="DM29" s="4" t="s">
        <v>7</v>
      </c>
      <c r="DN29" s="4" t="s">
        <v>7</v>
      </c>
      <c r="DO29" s="4" t="s">
        <v>7</v>
      </c>
      <c r="DP29" s="4" t="s">
        <v>7</v>
      </c>
      <c r="DQ29" s="4" t="s">
        <v>7</v>
      </c>
      <c r="DR29" s="4" t="s">
        <v>7</v>
      </c>
      <c r="DS29" s="4" t="s">
        <v>7</v>
      </c>
      <c r="DT29" s="4" t="s">
        <v>7</v>
      </c>
      <c r="DU29" s="4" t="s">
        <v>7</v>
      </c>
      <c r="DV29" s="4" t="s">
        <v>7</v>
      </c>
      <c r="DW29" s="4" t="s">
        <v>7</v>
      </c>
      <c r="DX29" s="4" t="s">
        <v>7</v>
      </c>
      <c r="DY29" s="4" t="s">
        <v>7</v>
      </c>
      <c r="DZ29" s="4" t="s">
        <v>7</v>
      </c>
      <c r="EA29" s="4" t="s">
        <v>7</v>
      </c>
      <c r="EB29" s="4" t="s">
        <v>7</v>
      </c>
      <c r="EC29" s="4" t="s">
        <v>7</v>
      </c>
      <c r="ED29" s="4" t="s">
        <v>7</v>
      </c>
      <c r="EE29" s="4" t="s">
        <v>7</v>
      </c>
      <c r="EF29" s="4" t="s">
        <v>7</v>
      </c>
      <c r="EG29" s="4" t="s">
        <v>7</v>
      </c>
      <c r="EH29" s="4" t="s">
        <v>7</v>
      </c>
      <c r="EI29" s="4" t="s">
        <v>7</v>
      </c>
      <c r="EJ29" s="4" t="s">
        <v>7</v>
      </c>
      <c r="EK29" s="4" t="s">
        <v>7</v>
      </c>
      <c r="EL29" s="4" t="s">
        <v>7</v>
      </c>
      <c r="EM29" s="4" t="s">
        <v>7</v>
      </c>
      <c r="EN29" s="4" t="s">
        <v>7</v>
      </c>
      <c r="EO29" s="4" t="s">
        <v>7</v>
      </c>
      <c r="EP29" s="4" t="s">
        <v>7</v>
      </c>
      <c r="EQ29" s="4" t="s">
        <v>7</v>
      </c>
      <c r="ER29" s="4" t="s">
        <v>7</v>
      </c>
      <c r="ES29" s="4" t="s">
        <v>7</v>
      </c>
      <c r="ET29" s="4" t="s">
        <v>7</v>
      </c>
      <c r="EU29" s="4" t="s">
        <v>7</v>
      </c>
      <c r="EV29" s="4" t="s">
        <v>7</v>
      </c>
      <c r="EW29" s="4" t="s">
        <v>7</v>
      </c>
      <c r="EX29" s="4" t="s">
        <v>7</v>
      </c>
      <c r="EY29" s="4" t="s">
        <v>7</v>
      </c>
      <c r="EZ29" s="4" t="s">
        <v>7</v>
      </c>
      <c r="FA29" s="4" t="s">
        <v>7</v>
      </c>
      <c r="FB29" s="4" t="s">
        <v>7</v>
      </c>
      <c r="FC29" s="4" t="s">
        <v>7</v>
      </c>
      <c r="FD29" s="4" t="s">
        <v>7</v>
      </c>
      <c r="FE29" s="4" t="s">
        <v>7</v>
      </c>
      <c r="FF29" s="4" t="s">
        <v>7</v>
      </c>
      <c r="FG29" s="4" t="s">
        <v>7</v>
      </c>
    </row>
    <row r="30" spans="1:163" x14ac:dyDescent="0.2">
      <c r="A30" s="2" t="s">
        <v>46</v>
      </c>
      <c r="B30" s="4">
        <f t="shared" ref="B30" si="20">COUNTA(K30:VR30)</f>
        <v>66</v>
      </c>
      <c r="C30" s="4">
        <f t="shared" ref="C30" si="21">COUNTIF(K30:VR30,"P")</f>
        <v>45</v>
      </c>
      <c r="D30" s="6">
        <f t="shared" ref="D30" si="22">COUNTIF(K30:VR30,"REP")</f>
        <v>0</v>
      </c>
      <c r="E30" s="4">
        <f t="shared" ref="E30" si="23">COUNTIF(K30:VS30,"A")</f>
        <v>0</v>
      </c>
      <c r="F30" s="4">
        <f t="shared" ref="F30" si="24">COUNTIF(K30:VT30,"B")</f>
        <v>13</v>
      </c>
      <c r="G30" s="4">
        <f t="shared" ref="G30" si="25">COUNTIF(K30:VU30,"M")</f>
        <v>2</v>
      </c>
      <c r="H30" s="4">
        <f t="shared" ref="H30" si="26">COUNTIF(K30:VV30,"R")</f>
        <v>0</v>
      </c>
      <c r="I30" s="4">
        <f t="shared" ref="I30" si="27">COUNTIF(K30:VW30,"RH")</f>
        <v>6</v>
      </c>
      <c r="J30" s="4">
        <f t="shared" ref="J30" si="28">COUNTIF(K30:VW30,"S")</f>
        <v>0</v>
      </c>
      <c r="CT30" s="4" t="s">
        <v>7</v>
      </c>
      <c r="CU30" s="4" t="s">
        <v>7</v>
      </c>
      <c r="CV30" s="4" t="s">
        <v>7</v>
      </c>
      <c r="CW30" s="4" t="s">
        <v>7</v>
      </c>
      <c r="CX30" s="4" t="s">
        <v>7</v>
      </c>
      <c r="CY30" s="4" t="s">
        <v>7</v>
      </c>
      <c r="CZ30" s="4" t="s">
        <v>7</v>
      </c>
      <c r="DA30" s="4" t="s">
        <v>7</v>
      </c>
      <c r="DB30" s="4" t="s">
        <v>7</v>
      </c>
      <c r="DC30" s="4" t="s">
        <v>7</v>
      </c>
      <c r="DD30" s="4" t="s">
        <v>7</v>
      </c>
      <c r="DE30" s="4" t="s">
        <v>7</v>
      </c>
      <c r="DF30" s="4" t="s">
        <v>7</v>
      </c>
      <c r="DG30" s="4" t="s">
        <v>7</v>
      </c>
      <c r="DH30" s="4" t="s">
        <v>7</v>
      </c>
      <c r="DI30" s="4" t="s">
        <v>7</v>
      </c>
      <c r="DJ30" s="4" t="s">
        <v>7</v>
      </c>
      <c r="DK30" s="4" t="s">
        <v>7</v>
      </c>
      <c r="DL30" s="4" t="s">
        <v>7</v>
      </c>
      <c r="DM30" s="4" t="s">
        <v>7</v>
      </c>
      <c r="DN30" s="4" t="s">
        <v>7</v>
      </c>
      <c r="DO30" s="4" t="s">
        <v>7</v>
      </c>
      <c r="DP30" s="4" t="s">
        <v>7</v>
      </c>
      <c r="DQ30" s="4" t="s">
        <v>7</v>
      </c>
      <c r="DR30" s="4" t="s">
        <v>7</v>
      </c>
      <c r="DS30" s="4" t="s">
        <v>7</v>
      </c>
      <c r="DT30" s="4" t="s">
        <v>7</v>
      </c>
      <c r="DU30" s="4" t="s">
        <v>7</v>
      </c>
      <c r="DV30" s="4" t="s">
        <v>7</v>
      </c>
      <c r="DW30" s="4" t="s">
        <v>7</v>
      </c>
      <c r="DX30" s="4" t="s">
        <v>7</v>
      </c>
      <c r="DY30" s="4" t="s">
        <v>7</v>
      </c>
      <c r="DZ30" s="4" t="s">
        <v>7</v>
      </c>
      <c r="EA30" s="4" t="s">
        <v>7</v>
      </c>
      <c r="EB30" s="4" t="s">
        <v>7</v>
      </c>
      <c r="EC30" s="4" t="s">
        <v>7</v>
      </c>
      <c r="ED30" s="4" t="s">
        <v>7</v>
      </c>
      <c r="EE30" s="4" t="s">
        <v>7</v>
      </c>
      <c r="EF30" s="4" t="s">
        <v>7</v>
      </c>
      <c r="EG30" s="4" t="s">
        <v>7</v>
      </c>
      <c r="EH30" s="4" t="s">
        <v>7</v>
      </c>
      <c r="EI30" s="4" t="s">
        <v>7</v>
      </c>
      <c r="EJ30" s="4" t="s">
        <v>38</v>
      </c>
      <c r="EK30" s="4" t="s">
        <v>38</v>
      </c>
      <c r="EL30" s="4" t="s">
        <v>7</v>
      </c>
      <c r="EM30" s="4" t="s">
        <v>7</v>
      </c>
      <c r="EN30" s="4" t="s">
        <v>35</v>
      </c>
      <c r="EO30" s="4" t="s">
        <v>35</v>
      </c>
      <c r="EP30" s="4" t="s">
        <v>35</v>
      </c>
      <c r="EQ30" s="4" t="s">
        <v>35</v>
      </c>
      <c r="ER30" s="4" t="s">
        <v>35</v>
      </c>
      <c r="ES30" s="4" t="s">
        <v>34</v>
      </c>
      <c r="ET30" s="4" t="s">
        <v>34</v>
      </c>
      <c r="EU30" s="4" t="s">
        <v>34</v>
      </c>
      <c r="EV30" s="4" t="s">
        <v>34</v>
      </c>
      <c r="EW30" s="4" t="s">
        <v>34</v>
      </c>
      <c r="EX30" s="4" t="s">
        <v>34</v>
      </c>
      <c r="EY30" s="4" t="s">
        <v>7</v>
      </c>
      <c r="EZ30" s="4" t="s">
        <v>35</v>
      </c>
      <c r="FA30" s="4" t="s">
        <v>35</v>
      </c>
      <c r="FB30" s="4" t="s">
        <v>35</v>
      </c>
      <c r="FC30" s="4" t="s">
        <v>35</v>
      </c>
      <c r="FD30" s="4" t="s">
        <v>35</v>
      </c>
      <c r="FE30" s="4" t="s">
        <v>35</v>
      </c>
      <c r="FF30" s="4" t="s">
        <v>35</v>
      </c>
      <c r="FG30" s="4" t="s">
        <v>35</v>
      </c>
    </row>
    <row r="31" spans="1:163" x14ac:dyDescent="0.2">
      <c r="A31" s="2" t="s">
        <v>48</v>
      </c>
      <c r="B31" s="4">
        <f t="shared" ref="B31" si="29">COUNTA(K31:VR31)</f>
        <v>54</v>
      </c>
      <c r="C31" s="4">
        <f t="shared" ref="C31" si="30">COUNTIF(K31:VR31,"P")</f>
        <v>42</v>
      </c>
      <c r="D31" s="6">
        <f t="shared" ref="D31" si="31">COUNTIF(K31:VR31,"REP")</f>
        <v>2</v>
      </c>
      <c r="E31" s="4">
        <f t="shared" ref="E31" si="32">COUNTIF(K31:VS31,"A")</f>
        <v>0</v>
      </c>
      <c r="F31" s="4">
        <f t="shared" ref="F31" si="33">COUNTIF(K31:VT31,"B")</f>
        <v>9</v>
      </c>
      <c r="G31" s="4">
        <f t="shared" ref="G31" si="34">COUNTIF(K31:VU31,"M")</f>
        <v>1</v>
      </c>
      <c r="H31" s="4">
        <f t="shared" ref="H31" si="35">COUNTIF(K31:VV31,"R")</f>
        <v>0</v>
      </c>
      <c r="I31" s="4">
        <f t="shared" ref="I31" si="36">COUNTIF(K31:VW31,"RH")</f>
        <v>0</v>
      </c>
      <c r="J31" s="4">
        <f t="shared" ref="J31" si="37">COUNTIF(K31:VW31,"S")</f>
        <v>0</v>
      </c>
      <c r="DF31" s="4" t="s">
        <v>7</v>
      </c>
      <c r="DG31" s="4" t="s">
        <v>7</v>
      </c>
      <c r="DH31" s="4" t="s">
        <v>7</v>
      </c>
      <c r="DI31" s="4" t="s">
        <v>7</v>
      </c>
      <c r="DJ31" s="4" t="s">
        <v>7</v>
      </c>
      <c r="DK31" s="4" t="s">
        <v>7</v>
      </c>
      <c r="DL31" s="4" t="s">
        <v>7</v>
      </c>
      <c r="DM31" s="4" t="s">
        <v>7</v>
      </c>
      <c r="DN31" s="4" t="s">
        <v>7</v>
      </c>
      <c r="DO31" s="4" t="s">
        <v>7</v>
      </c>
      <c r="DP31" s="4" t="s">
        <v>7</v>
      </c>
      <c r="DQ31" s="4" t="s">
        <v>7</v>
      </c>
      <c r="DR31" s="4" t="s">
        <v>7</v>
      </c>
      <c r="DS31" s="4" t="s">
        <v>7</v>
      </c>
      <c r="DT31" s="4" t="s">
        <v>42</v>
      </c>
      <c r="DU31" s="4" t="s">
        <v>7</v>
      </c>
      <c r="DV31" s="4" t="s">
        <v>7</v>
      </c>
      <c r="DW31" s="4" t="s">
        <v>7</v>
      </c>
      <c r="DX31" s="4" t="s">
        <v>7</v>
      </c>
      <c r="DY31" s="4" t="s">
        <v>7</v>
      </c>
      <c r="DZ31" s="4" t="s">
        <v>7</v>
      </c>
      <c r="EA31" s="4" t="s">
        <v>7</v>
      </c>
      <c r="EB31" s="4" t="s">
        <v>7</v>
      </c>
      <c r="EC31" s="4" t="s">
        <v>38</v>
      </c>
      <c r="ED31" s="4" t="s">
        <v>7</v>
      </c>
      <c r="EE31" s="4" t="s">
        <v>7</v>
      </c>
      <c r="EF31" s="4" t="s">
        <v>7</v>
      </c>
      <c r="EG31" s="4" t="s">
        <v>35</v>
      </c>
      <c r="EH31" s="4" t="s">
        <v>35</v>
      </c>
      <c r="EI31" s="4" t="s">
        <v>35</v>
      </c>
      <c r="EJ31" s="4" t="s">
        <v>7</v>
      </c>
      <c r="EK31" s="4" t="s">
        <v>7</v>
      </c>
      <c r="EL31" s="4" t="s">
        <v>7</v>
      </c>
      <c r="EM31" s="4" t="s">
        <v>7</v>
      </c>
      <c r="EN31" s="4" t="s">
        <v>7</v>
      </c>
      <c r="EO31" s="4" t="s">
        <v>7</v>
      </c>
      <c r="EP31" s="4" t="s">
        <v>7</v>
      </c>
      <c r="EQ31" s="4" t="s">
        <v>7</v>
      </c>
      <c r="ER31" s="4" t="s">
        <v>7</v>
      </c>
      <c r="ES31" s="4" t="s">
        <v>7</v>
      </c>
      <c r="ET31" s="4" t="s">
        <v>7</v>
      </c>
      <c r="EU31" s="4" t="s">
        <v>7</v>
      </c>
      <c r="EV31" s="4" t="s">
        <v>35</v>
      </c>
      <c r="EW31" s="4" t="s">
        <v>35</v>
      </c>
      <c r="EX31" s="4" t="s">
        <v>35</v>
      </c>
      <c r="EY31" s="4" t="s">
        <v>35</v>
      </c>
      <c r="EZ31" s="4" t="s">
        <v>35</v>
      </c>
      <c r="FA31" s="4" t="s">
        <v>35</v>
      </c>
      <c r="FB31" s="4" t="s">
        <v>7</v>
      </c>
      <c r="FC31" s="4" t="s">
        <v>7</v>
      </c>
      <c r="FD31" s="4" t="s">
        <v>7</v>
      </c>
      <c r="FE31" s="4" t="s">
        <v>7</v>
      </c>
      <c r="FF31" s="4" t="s">
        <v>42</v>
      </c>
      <c r="FG31" s="4" t="s">
        <v>7</v>
      </c>
    </row>
    <row r="32" spans="1:163" x14ac:dyDescent="0.2">
      <c r="A32" s="2" t="s">
        <v>47</v>
      </c>
      <c r="B32" s="4">
        <f t="shared" ref="B32" si="38">COUNTA(K32:VR32)</f>
        <v>50</v>
      </c>
      <c r="C32" s="4">
        <f t="shared" ref="C32" si="39">COUNTIF(K32:VR32,"P")</f>
        <v>45</v>
      </c>
      <c r="D32" s="6">
        <f t="shared" ref="D32" si="40">COUNTIF(K32:VR32,"REP")</f>
        <v>0</v>
      </c>
      <c r="E32" s="4">
        <f t="shared" ref="E32" si="41">COUNTIF(K32:VS32,"A")</f>
        <v>3</v>
      </c>
      <c r="F32" s="4">
        <f t="shared" ref="F32" si="42">COUNTIF(K32:VT32,"B")</f>
        <v>2</v>
      </c>
      <c r="G32" s="4">
        <f t="shared" ref="G32" si="43">COUNTIF(K32:VU32,"M")</f>
        <v>0</v>
      </c>
      <c r="H32" s="4">
        <f t="shared" ref="H32" si="44">COUNTIF(K32:VV32,"R")</f>
        <v>0</v>
      </c>
      <c r="I32" s="4">
        <f t="shared" ref="I32" si="45">COUNTIF(K32:VW32,"RH")</f>
        <v>0</v>
      </c>
      <c r="J32" s="4">
        <f t="shared" ref="J32" si="46">COUNTIF(K32:VW32,"S")</f>
        <v>0</v>
      </c>
      <c r="DJ32" s="4" t="s">
        <v>7</v>
      </c>
      <c r="DK32" s="4" t="s">
        <v>7</v>
      </c>
      <c r="DL32" s="4" t="s">
        <v>7</v>
      </c>
      <c r="DM32" s="4" t="s">
        <v>7</v>
      </c>
      <c r="DN32" s="4" t="s">
        <v>7</v>
      </c>
      <c r="DO32" s="4" t="s">
        <v>7</v>
      </c>
      <c r="DP32" s="4" t="s">
        <v>7</v>
      </c>
      <c r="DQ32" s="4" t="s">
        <v>7</v>
      </c>
      <c r="DR32" s="4" t="s">
        <v>7</v>
      </c>
      <c r="DS32" s="4" t="s">
        <v>7</v>
      </c>
      <c r="DT32" s="4" t="s">
        <v>7</v>
      </c>
      <c r="DU32" s="4" t="s">
        <v>7</v>
      </c>
      <c r="DV32" s="4" t="s">
        <v>7</v>
      </c>
      <c r="DW32" s="4" t="s">
        <v>7</v>
      </c>
      <c r="DX32" s="4" t="s">
        <v>7</v>
      </c>
      <c r="DY32" s="4" t="s">
        <v>7</v>
      </c>
      <c r="DZ32" s="4" t="s">
        <v>7</v>
      </c>
      <c r="EA32" s="4" t="s">
        <v>7</v>
      </c>
      <c r="EB32" s="4" t="s">
        <v>7</v>
      </c>
      <c r="EC32" s="4" t="s">
        <v>32</v>
      </c>
      <c r="ED32" s="4" t="s">
        <v>7</v>
      </c>
      <c r="EE32" s="4" t="s">
        <v>7</v>
      </c>
      <c r="EF32" s="4" t="s">
        <v>7</v>
      </c>
      <c r="EG32" s="4" t="s">
        <v>7</v>
      </c>
      <c r="EH32" s="4" t="s">
        <v>7</v>
      </c>
      <c r="EI32" s="4" t="s">
        <v>7</v>
      </c>
      <c r="EJ32" s="4" t="s">
        <v>7</v>
      </c>
      <c r="EK32" s="4" t="s">
        <v>7</v>
      </c>
      <c r="EL32" s="4" t="s">
        <v>7</v>
      </c>
      <c r="EM32" s="4" t="s">
        <v>7</v>
      </c>
      <c r="EN32" s="4" t="s">
        <v>7</v>
      </c>
      <c r="EO32" s="4" t="s">
        <v>7</v>
      </c>
      <c r="EP32" s="4" t="s">
        <v>7</v>
      </c>
      <c r="EQ32" s="4" t="s">
        <v>7</v>
      </c>
      <c r="ER32" s="4" t="s">
        <v>7</v>
      </c>
      <c r="ES32" s="4" t="s">
        <v>7</v>
      </c>
      <c r="ET32" s="4" t="s">
        <v>35</v>
      </c>
      <c r="EU32" s="4" t="s">
        <v>35</v>
      </c>
      <c r="EV32" s="4" t="s">
        <v>32</v>
      </c>
      <c r="EW32" s="4" t="s">
        <v>32</v>
      </c>
      <c r="EX32" s="4" t="s">
        <v>7</v>
      </c>
      <c r="EY32" s="4" t="s">
        <v>7</v>
      </c>
      <c r="EZ32" s="4" t="s">
        <v>7</v>
      </c>
      <c r="FA32" s="4" t="s">
        <v>7</v>
      </c>
      <c r="FB32" s="4" t="s">
        <v>7</v>
      </c>
      <c r="FC32" s="4" t="s">
        <v>7</v>
      </c>
      <c r="FD32" s="4" t="s">
        <v>7</v>
      </c>
      <c r="FE32" s="4" t="s">
        <v>7</v>
      </c>
      <c r="FF32" s="4" t="s">
        <v>7</v>
      </c>
      <c r="FG32" s="4" t="s">
        <v>7</v>
      </c>
    </row>
  </sheetData>
  <conditionalFormatting sqref="A21:A30 A32">
    <cfRule type="cellIs" dxfId="6" priority="1" operator="equal">
      <formula>"R"</formula>
    </cfRule>
    <cfRule type="cellIs" dxfId="5" priority="2" operator="equal">
      <formula>"B"</formula>
    </cfRule>
    <cfRule type="cellIs" dxfId="4" priority="3" operator="equal">
      <formula>"P"</formula>
    </cfRule>
    <cfRule type="cellIs" dxfId="3" priority="4" operator="equal">
      <formula>"RENFO/TEK"</formula>
    </cfRule>
    <cfRule type="cellIs" dxfId="2" priority="5" operator="equal">
      <formula>"OK"</formula>
    </cfRule>
    <cfRule type="cellIs" dxfId="1" priority="6" operator="equal">
      <formula>"NN"</formula>
    </cfRule>
    <cfRule type="cellIs" dxfId="0" priority="7" operator="equal">
      <formula>"NN"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Gallo</dc:creator>
  <cp:lastModifiedBy>Christopher Gallo</cp:lastModifiedBy>
  <dcterms:created xsi:type="dcterms:W3CDTF">2025-06-30T13:38:00Z</dcterms:created>
  <dcterms:modified xsi:type="dcterms:W3CDTF">2026-05-13T11:37:02Z</dcterms:modified>
</cp:coreProperties>
</file>