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096C37C5-9860-4F4D-9861-1082418F1A49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1" l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<sst xmlns="http://schemas.openxmlformats.org/spreadsheetml/2006/main" count="2779" uniqueCount="48">
  <si>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</si>
  <si>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</si>
  <si>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</si>
  <si>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</si>
  <si>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</si>
  <si>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</si>
  <si>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</si>
  <si>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</si>
  <si>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</si>
  <si>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</si>
  <si>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</si>
  <si>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</si>
  <si>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</si>
  <si>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</si>
  <si>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</si>
  <si>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</si>
  <si>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</si>
  <si>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</si>
  <si>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</si>
  <si>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</si>
  <si>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</si>
  <si>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</si>
  <si>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</si>
  <si>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</si>
  <si>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</si>
  <si>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</si>
  <si>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</si>
  <si>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</si>
  <si>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</si>
  <si>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</si>
  <si>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</si>
  <si>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</si>
  <si>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</si>
  <si>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</si>
  <si>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</si>
  <si>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</si>
  <si>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</si>
  <si>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</si>
  <si>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</si>
  <si>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</si>
  <si>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</si>
  <si>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</si>
  <si>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</si>
  <si>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</si>
  <si>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</si>
  <si>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</si>
  <si>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</si>
  <si>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Mehdi Boussaid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</si>
</sst>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DK31"/>
  <sheetViews>
    <sheetView tabSelected="1" workbookViewId="0">
      <pane xSplit="1" topLeftCell="DJ1" activePane="topRight" state="frozen"/>
      <selection pane="topRight" activeCell="DN19" sqref="DN19"/>
    </sheetView>
  </sheetViews>
  <sheetFormatPr baseColWidth="10" defaultRowHeight="16" x14ac:dyDescent="0.2"/>
  <cols>
    <col min="1" max="1" width="17.1640625" customWidth="1"/>
  </cols>
  <sheetData>
    <row r="1" spans="1:115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  <c r="DK1" s="3">
        <v>46057</v>
      </c>
    </row>
    <row r="2" spans="1:115" x14ac:dyDescent="0.2">
      <c r="A2" s="2" t="s">
        <v>9</v>
      </c>
      <c r="B2" s="4">
        <f>COUNTA(K2:VR2)</f>
        <v>105</v>
      </c>
      <c r="C2" s="4">
        <f>COUNTIF(K2:VR2,"P")</f>
        <v>101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  <c r="DK2" s="4" t="s">
        <v>7</v>
      </c>
    </row>
    <row r="3" spans="1:115" x14ac:dyDescent="0.2">
      <c r="A3" s="2" t="s">
        <v>10</v>
      </c>
      <c r="B3" s="4">
        <f t="shared" ref="B3:B21" si="2">COUNTA(K3:VR3)</f>
        <v>105</v>
      </c>
      <c r="C3" s="4">
        <f t="shared" ref="C3:C21" si="3">COUNTIF(K3:VR3,"P")</f>
        <v>88</v>
      </c>
      <c r="D3" s="6">
        <f t="shared" ref="D3:D26" si="4">COUNTIF(K3:VR3,"REP")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COUNTIF(K3:VU3,"M")</f>
        <v>2</v>
      </c>
      <c r="H3" s="4">
        <f t="shared" ref="H3:H26" si="6">COUNTIF(K3:VV3,"R")</f>
        <v>13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  <c r="DK3" s="4" t="s">
        <v>7</v>
      </c>
    </row>
    <row r="4" spans="1:115" x14ac:dyDescent="0.2">
      <c r="A4" s="2" t="s">
        <v>11</v>
      </c>
      <c r="B4" s="4">
        <f t="shared" si="2"/>
        <v>105</v>
      </c>
      <c r="C4" s="4">
        <f t="shared" si="3"/>
        <v>103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  <c r="DK4" s="4" t="s">
        <v>7</v>
      </c>
    </row>
    <row r="5" spans="1:115" x14ac:dyDescent="0.2">
      <c r="A5" s="2" t="s">
        <v>12</v>
      </c>
      <c r="B5" s="4">
        <f t="shared" si="2"/>
        <v>105</v>
      </c>
      <c r="C5" s="4">
        <f t="shared" si="3"/>
        <v>72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  <c r="DK5" s="4" t="s">
        <v>7</v>
      </c>
    </row>
    <row r="6" spans="1:115" x14ac:dyDescent="0.2">
      <c r="A6" s="2" t="s">
        <v>13</v>
      </c>
      <c r="B6" s="4">
        <f t="shared" si="2"/>
        <v>105</v>
      </c>
      <c r="C6" s="4">
        <f t="shared" si="3"/>
        <v>54</v>
      </c>
      <c r="D6" s="6">
        <f t="shared" si="4"/>
        <v>1</v>
      </c>
      <c r="E6" s="4">
        <f t="shared" si="0"/>
        <v>7</v>
      </c>
      <c r="F6" s="4">
        <f>COUNTIF(K6:VT6,"B")</f>
        <v>29</v>
      </c>
      <c r="G6" s="4">
        <f t="shared" si="5"/>
        <v>4</v>
      </c>
      <c r="H6" s="4">
        <f t="shared" si="6"/>
        <v>4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  <c r="DK6" s="4" t="s">
        <v>35</v>
      </c>
    </row>
    <row r="7" spans="1:115" x14ac:dyDescent="0.2">
      <c r="A7" s="2" t="s">
        <v>14</v>
      </c>
      <c r="B7" s="4">
        <f t="shared" si="2"/>
        <v>105</v>
      </c>
      <c r="C7" s="4">
        <f t="shared" si="3"/>
        <v>92</v>
      </c>
      <c r="D7" s="6">
        <f t="shared" si="4"/>
        <v>1</v>
      </c>
      <c r="E7" s="4">
        <f>COUNTIF(K7:VS7,"A")</f>
        <v>2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  <c r="DK7" s="4" t="s">
        <v>7</v>
      </c>
    </row>
    <row r="8" spans="1:115" x14ac:dyDescent="0.2">
      <c r="A8" s="2" t="s">
        <v>15</v>
      </c>
      <c r="B8" s="4">
        <f t="shared" si="2"/>
        <v>105</v>
      </c>
      <c r="C8" s="4">
        <f t="shared" si="3"/>
        <v>78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8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  <c r="DK8" s="4" t="s">
        <v>7</v>
      </c>
    </row>
    <row r="9" spans="1:115" x14ac:dyDescent="0.2">
      <c r="A9" s="2" t="s">
        <v>16</v>
      </c>
      <c r="B9" s="4">
        <f t="shared" si="2"/>
        <v>105</v>
      </c>
      <c r="C9" s="4">
        <f t="shared" si="3"/>
        <v>99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  <c r="DK9" s="4" t="s">
        <v>7</v>
      </c>
    </row>
    <row r="10" spans="1:115" x14ac:dyDescent="0.2">
      <c r="A10" s="2" t="s">
        <v>17</v>
      </c>
      <c r="B10" s="4">
        <f t="shared" si="2"/>
        <v>105</v>
      </c>
      <c r="C10" s="4">
        <f t="shared" si="3"/>
        <v>87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  <c r="DK10" s="4" t="s">
        <v>7</v>
      </c>
    </row>
    <row r="11" spans="1:115" x14ac:dyDescent="0.2">
      <c r="A11" s="2" t="s">
        <v>18</v>
      </c>
      <c r="B11" s="4">
        <f t="shared" si="2"/>
        <v>105</v>
      </c>
      <c r="C11" s="4">
        <f t="shared" si="3"/>
        <v>98</v>
      </c>
      <c r="D11" s="6">
        <f t="shared" si="4"/>
        <v>1</v>
      </c>
      <c r="E11" s="4">
        <f t="shared" si="0"/>
        <v>0</v>
      </c>
      <c r="F11" s="4">
        <f t="shared" si="1"/>
        <v>5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  <c r="DK11" s="4" t="s">
        <v>7</v>
      </c>
    </row>
    <row r="12" spans="1:115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15" x14ac:dyDescent="0.2">
      <c r="A13" s="2" t="s">
        <v>20</v>
      </c>
      <c r="B13" s="4">
        <f t="shared" si="2"/>
        <v>105</v>
      </c>
      <c r="C13" s="4">
        <f t="shared" si="3"/>
        <v>18</v>
      </c>
      <c r="D13" s="6">
        <f t="shared" si="4"/>
        <v>0</v>
      </c>
      <c r="E13" s="4">
        <f t="shared" si="0"/>
        <v>1</v>
      </c>
      <c r="F13" s="4">
        <f t="shared" si="1"/>
        <v>67</v>
      </c>
      <c r="G13" s="4">
        <f t="shared" si="5"/>
        <v>0</v>
      </c>
      <c r="H13" s="4">
        <f t="shared" si="6"/>
        <v>0</v>
      </c>
      <c r="I13" s="4">
        <f t="shared" si="7"/>
        <v>19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  <c r="DK13" s="4" t="s">
        <v>7</v>
      </c>
    </row>
    <row r="14" spans="1:115" x14ac:dyDescent="0.2">
      <c r="A14" s="2" t="s">
        <v>21</v>
      </c>
      <c r="B14" s="4">
        <f t="shared" si="2"/>
        <v>105</v>
      </c>
      <c r="C14" s="4">
        <f t="shared" si="3"/>
        <v>104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  <c r="DK14" s="4" t="s">
        <v>7</v>
      </c>
    </row>
    <row r="15" spans="1:115" x14ac:dyDescent="0.2">
      <c r="A15" s="2" t="s">
        <v>22</v>
      </c>
      <c r="B15" s="4">
        <f t="shared" si="2"/>
        <v>105</v>
      </c>
      <c r="C15" s="4">
        <f t="shared" si="3"/>
        <v>100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  <c r="DK15" s="4" t="s">
        <v>7</v>
      </c>
    </row>
    <row r="16" spans="1:115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  <c r="DK16" s="4"/>
    </row>
    <row r="17" spans="1:115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  <c r="DK17" s="4"/>
    </row>
    <row r="18" spans="1:115" x14ac:dyDescent="0.2">
      <c r="A18" s="2" t="s">
        <v>25</v>
      </c>
      <c r="B18" s="4">
        <f t="shared" si="2"/>
        <v>105</v>
      </c>
      <c r="C18" s="4">
        <f t="shared" si="3"/>
        <v>90</v>
      </c>
      <c r="D18" s="6">
        <f t="shared" si="4"/>
        <v>0</v>
      </c>
      <c r="E18" s="4">
        <f t="shared" si="0"/>
        <v>0</v>
      </c>
      <c r="F18" s="4">
        <f t="shared" si="1"/>
        <v>10</v>
      </c>
      <c r="G18" s="4">
        <f t="shared" si="5"/>
        <v>1</v>
      </c>
      <c r="H18" s="4">
        <f t="shared" si="6"/>
        <v>0</v>
      </c>
      <c r="I18" s="4">
        <f t="shared" si="7"/>
        <v>4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  <c r="DK18" s="4" t="s">
        <v>7</v>
      </c>
    </row>
    <row r="19" spans="1:115" x14ac:dyDescent="0.2">
      <c r="A19" s="2" t="s">
        <v>26</v>
      </c>
      <c r="B19" s="4">
        <f t="shared" si="2"/>
        <v>105</v>
      </c>
      <c r="C19" s="4">
        <f t="shared" si="3"/>
        <v>93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  <c r="DK19" s="4" t="s">
        <v>7</v>
      </c>
    </row>
    <row r="20" spans="1:115" x14ac:dyDescent="0.2">
      <c r="A20" s="2" t="s">
        <v>27</v>
      </c>
      <c r="B20" s="4">
        <f t="shared" si="2"/>
        <v>105</v>
      </c>
      <c r="C20" s="4">
        <f t="shared" si="3"/>
        <v>102</v>
      </c>
      <c r="D20" s="6">
        <f t="shared" si="4"/>
        <v>0</v>
      </c>
      <c r="E20" s="4">
        <f t="shared" si="0"/>
        <v>0</v>
      </c>
      <c r="F20" s="4">
        <f t="shared" si="1"/>
        <v>2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  <c r="DK20" s="4" t="s">
        <v>7</v>
      </c>
    </row>
    <row r="21" spans="1:115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15" x14ac:dyDescent="0.2">
      <c r="A22" s="4" t="s">
        <v>29</v>
      </c>
      <c r="B22" s="4">
        <f t="shared" ref="B22:B26" si="9">COUNTA(K22:VR22)</f>
        <v>105</v>
      </c>
      <c r="C22" s="4">
        <f t="shared" ref="C22:C26" si="10">COUNTIF(K22:VR22,"P")</f>
        <v>101</v>
      </c>
      <c r="D22" s="6">
        <f t="shared" si="4"/>
        <v>3</v>
      </c>
      <c r="E22" s="4">
        <f t="shared" si="0"/>
        <v>0</v>
      </c>
      <c r="F22" s="4">
        <f t="shared" si="1"/>
        <v>0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  <c r="DK22" s="4" t="s">
        <v>7</v>
      </c>
    </row>
    <row r="23" spans="1:115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15" x14ac:dyDescent="0.2">
      <c r="A24" s="2" t="s">
        <v>31</v>
      </c>
      <c r="B24" s="4">
        <f t="shared" si="9"/>
        <v>105</v>
      </c>
      <c r="C24" s="4">
        <f t="shared" si="10"/>
        <v>98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  <c r="DK24" s="4" t="s">
        <v>7</v>
      </c>
    </row>
    <row r="25" spans="1:115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  <c r="DK25" s="4"/>
    </row>
    <row r="26" spans="1:115" x14ac:dyDescent="0.2">
      <c r="A26" s="2" t="s">
        <v>36</v>
      </c>
      <c r="B26" s="4">
        <f t="shared" si="9"/>
        <v>105</v>
      </c>
      <c r="C26" s="4">
        <f t="shared" si="10"/>
        <v>92</v>
      </c>
      <c r="D26" s="6">
        <f t="shared" si="4"/>
        <v>0</v>
      </c>
      <c r="E26" s="4">
        <f t="shared" si="0"/>
        <v>4</v>
      </c>
      <c r="F26" s="4">
        <f t="shared" si="1"/>
        <v>3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  <c r="DK26" s="4" t="s">
        <v>7</v>
      </c>
    </row>
    <row r="27" spans="1:115" x14ac:dyDescent="0.2">
      <c r="A27" s="2" t="s">
        <v>37</v>
      </c>
      <c r="B27" s="4">
        <f t="shared" ref="B27:B29" si="11">COUNTA(K27:VR27)</f>
        <v>95</v>
      </c>
      <c r="C27" s="4">
        <f t="shared" ref="C27:C29" si="12">COUNTIF(K27:VR27,"P")</f>
        <v>65</v>
      </c>
      <c r="D27" s="6">
        <f t="shared" ref="D27:D29" si="13">COUNTIF(K27:VR27,"REP")</f>
        <v>7</v>
      </c>
      <c r="E27" s="4">
        <f t="shared" ref="E27:E29" si="14">COUNTIF(K27:VS27,"A")</f>
        <v>0</v>
      </c>
      <c r="F27" s="4">
        <f t="shared" ref="F27:F29" si="15">COUNTIF(K27:VT27,"B")</f>
        <v>0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  <c r="DK27" s="4" t="s">
        <v>7</v>
      </c>
    </row>
    <row r="28" spans="1:115" x14ac:dyDescent="0.2">
      <c r="A28" s="2" t="s">
        <v>44</v>
      </c>
      <c r="B28" s="4">
        <f t="shared" si="11"/>
        <v>73</v>
      </c>
      <c r="C28" s="4">
        <f t="shared" si="12"/>
        <v>71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  <c r="DK28" s="4" t="s">
        <v>7</v>
      </c>
    </row>
    <row r="29" spans="1:115" x14ac:dyDescent="0.2">
      <c r="A29" s="2" t="s">
        <v>43</v>
      </c>
      <c r="B29" s="4">
        <f t="shared" si="11"/>
        <v>73</v>
      </c>
      <c r="C29" s="4">
        <f t="shared" si="12"/>
        <v>65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  <c r="DK29" s="4" t="s">
        <v>7</v>
      </c>
    </row>
    <row r="30" spans="1:115" x14ac:dyDescent="0.2">
      <c r="A30" s="2" t="s">
        <v>46</v>
      </c>
      <c r="B30" s="4">
        <f t="shared" ref="B30" si="20">COUNTA(K30:VR30)</f>
        <v>18</v>
      </c>
      <c r="C30" s="4">
        <f t="shared" ref="C30" si="21">COUNTIF(K30:VR30,"P")</f>
        <v>18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0</v>
      </c>
      <c r="G30" s="4">
        <f t="shared" ref="G30" si="25">COUNTIF(K30:VU30,"M")</f>
        <v>0</v>
      </c>
      <c r="H30" s="4">
        <f t="shared" ref="H30" si="26">COUNTIF(K30:VV30,"R")</f>
        <v>0</v>
      </c>
      <c r="I30" s="4">
        <f t="shared" ref="I30" si="27">COUNTIF(K30:VW30,"RH")</f>
        <v>0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  <c r="DK30" s="4" t="s">
        <v>7</v>
      </c>
    </row>
    <row r="31" spans="1:115" x14ac:dyDescent="0.2">
      <c r="A31" s="2" t="s">
        <v>47</v>
      </c>
      <c r="B31" s="4">
        <f t="shared" ref="B31" si="29">COUNTA(K31:VR31)</f>
        <v>6</v>
      </c>
      <c r="C31" s="4">
        <f t="shared" ref="C31" si="30">COUNTIF(K31:VR31,"P")</f>
        <v>6</v>
      </c>
      <c r="D31" s="6">
        <f t="shared" ref="D31" si="31">COUNTIF(K31:VR31,"REP")</f>
        <v>0</v>
      </c>
      <c r="E31" s="4">
        <f t="shared" ref="E31" si="32">COUNTIF(K31:VS31,"A")</f>
        <v>0</v>
      </c>
      <c r="F31" s="4">
        <f t="shared" ref="F31" si="33">COUNTIF(K31:VT31,"B")</f>
        <v>0</v>
      </c>
      <c r="G31" s="4">
        <f t="shared" ref="G31" si="34">COUNTIF(K31:VU31,"M")</f>
        <v>0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  <c r="DK31" s="4" t="s">
        <v>7</v>
      </c>
    </row>
  </sheetData>
  <conditionalFormatting sqref="A21:A31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2026-02-04T15:08:09Z</dcterms:modified>
</cp:coreProperties>
</file>