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C73B2B97-D2F0-BF41-A0E9-97E4E267F6CE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1" l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<sst xmlns="http://schemas.openxmlformats.org/spreadsheetml/2006/main" count="2755" uniqueCount="48">
  <si>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</si>
  <si>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</si>
  <si>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</si>
  <si>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</si>
  <si>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</si>
  <si>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</si>
  <si>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</si>
  <si>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</si>
  <si>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</si>
  <si>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</si>
  <si>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</si>
  <si>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</si>
  <si>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</si>
  <si>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</si>
  <si>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</si>
  <si>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</si>
  <si>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</si>
  <si>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</si>
  <si>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</si>
  <si>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</si>
  <si>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</si>
  <si>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</si>
  <si>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</si>
  <si>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</si>
  <si>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</si>
  <si>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</si>
  <si>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</si>
  <si>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</si>
  <si>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</si>
  <si>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</si>
  <si>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</si>
  <si>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</si>
  <si>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</si>
  <si>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</si>
  <si>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</si>
  <si>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</si>
  <si>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</si>
  <si>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</si>
  <si>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</si>
  <si>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</si>
  <si>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</si>
  <si>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</si>
  <si>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</si>
  <si>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</si>
  <si>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</si>
  <si>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</si>
  <si>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</si>
  <si>
    <t>Mehdi Boussaid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</si>
</sst>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DJ31"/>
  <sheetViews>
    <sheetView tabSelected="1" topLeftCell="A3" workbookViewId="0">
      <pane xSplit="1" topLeftCell="DI1" activePane="topRight" state="frozen"/>
      <selection pane="topRight" activeCell="DM25" sqref="DM25"/>
    </sheetView>
  </sheetViews>
  <sheetFormatPr baseColWidth="10" defaultRowHeight="16" x14ac:dyDescent="0.2"/>
  <cols>
    <col min="1" max="1" width="17.1640625" customWidth="1"/>
  </cols>
  <sheetData>
    <row r="1" spans="1:114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  <c r="CY1" s="3">
        <v>46034</v>
      </c>
      <c r="CZ1" s="3">
        <v>46035</v>
      </c>
      <c r="DA1" s="3">
        <v>46036</v>
      </c>
      <c r="DB1" s="3">
        <v>46038</v>
      </c>
      <c r="DC1" s="3">
        <v>46041</v>
      </c>
      <c r="DD1" s="3">
        <v>46042</v>
      </c>
      <c r="DE1" s="3">
        <v>46043</v>
      </c>
      <c r="DF1" s="3">
        <v>46048</v>
      </c>
      <c r="DG1" s="3">
        <v>46049</v>
      </c>
      <c r="DH1" s="3">
        <v>46050</v>
      </c>
      <c r="DI1" s="3">
        <v>46052</v>
      </c>
      <c r="DJ1" s="3">
        <v>46056</v>
      </c>
    </row>
    <row r="2" spans="1:114" x14ac:dyDescent="0.2">
      <c r="A2" s="2" t="s">
        <v>9</v>
      </c>
      <c r="B2" s="4">
        <f>COUNTA(K2:VR2)</f>
        <v>104</v>
      </c>
      <c r="C2" s="4">
        <f>COUNTIF(K2:VR2,"P")</f>
        <v>100</v>
      </c>
      <c r="D2" s="6">
        <f>COUNTIF(K2:VR2,"REP")</f>
        <v>0</v>
      </c>
      <c r="E2" s="4">
        <f t="shared" ref="E2:E26" si="0">COUNTIF(K2:VS2,"A")</f>
        <v>0</v>
      </c>
      <c r="F2" s="4">
        <f t="shared" ref="F2:F26" si="1">COUNTIF(K2:VT2,"B")</f>
        <v>4</v>
      </c>
      <c r="G2" s="4">
        <f>COUNTIF(K2:VU2,"M")</f>
        <v>0</v>
      </c>
      <c r="H2" s="4">
        <f>COUNTIF(K2:VV2,"R")</f>
        <v>0</v>
      </c>
      <c r="I2" s="4">
        <f>COUNTIF(K2:VW2,"RH")</f>
        <v>0</v>
      </c>
      <c r="J2" s="4">
        <f>COUNTIF(K2:VW2,"S")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  <c r="CY2" s="4" t="s">
        <v>35</v>
      </c>
      <c r="CZ2" s="4" t="s">
        <v>35</v>
      </c>
      <c r="DA2" s="4" t="s">
        <v>35</v>
      </c>
      <c r="DB2" s="4" t="s">
        <v>35</v>
      </c>
      <c r="DC2" s="4" t="s">
        <v>7</v>
      </c>
      <c r="DD2" s="4" t="s">
        <v>7</v>
      </c>
      <c r="DE2" s="4" t="s">
        <v>7</v>
      </c>
      <c r="DF2" s="4" t="s">
        <v>7</v>
      </c>
      <c r="DG2" s="4" t="s">
        <v>7</v>
      </c>
      <c r="DH2" s="4" t="s">
        <v>7</v>
      </c>
      <c r="DI2" s="4" t="s">
        <v>7</v>
      </c>
      <c r="DJ2" s="4" t="s">
        <v>7</v>
      </c>
    </row>
    <row r="3" spans="1:114" x14ac:dyDescent="0.2">
      <c r="A3" s="2" t="s">
        <v>10</v>
      </c>
      <c r="B3" s="4">
        <f t="shared" ref="B3:B21" si="2">COUNTA(K3:VR3)</f>
        <v>104</v>
      </c>
      <c r="C3" s="4">
        <f t="shared" ref="C3:C21" si="3">COUNTIF(K3:VR3,"P")</f>
        <v>87</v>
      </c>
      <c r="D3" s="6">
        <f t="shared" ref="D3:D26" si="4">COUNTIF(K3:VR3,"REP")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COUNTIF(K3:VU3,"M")</f>
        <v>2</v>
      </c>
      <c r="H3" s="4">
        <f t="shared" ref="H3:H26" si="6">COUNTIF(K3:VV3,"R")</f>
        <v>13</v>
      </c>
      <c r="I3" s="4">
        <f t="shared" ref="I3:I26" si="7">COUNTIF(K3:VW3,"RH")</f>
        <v>0</v>
      </c>
      <c r="J3" s="4">
        <f t="shared" ref="J3:J26" si="8">COUNTIF(K3:VW3,"S")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  <c r="CY3" s="4" t="s">
        <v>7</v>
      </c>
      <c r="CZ3" s="4" t="s">
        <v>7</v>
      </c>
      <c r="DA3" s="4" t="s">
        <v>7</v>
      </c>
      <c r="DB3" s="4" t="s">
        <v>7</v>
      </c>
      <c r="DC3" s="4" t="s">
        <v>7</v>
      </c>
      <c r="DD3" s="4" t="s">
        <v>7</v>
      </c>
      <c r="DE3" s="4" t="s">
        <v>7</v>
      </c>
      <c r="DF3" s="4" t="s">
        <v>7</v>
      </c>
      <c r="DG3" s="4" t="s">
        <v>7</v>
      </c>
      <c r="DH3" s="4" t="s">
        <v>7</v>
      </c>
      <c r="DI3" s="4" t="s">
        <v>40</v>
      </c>
      <c r="DJ3" s="4" t="s">
        <v>7</v>
      </c>
    </row>
    <row r="4" spans="1:114" x14ac:dyDescent="0.2">
      <c r="A4" s="2" t="s">
        <v>11</v>
      </c>
      <c r="B4" s="4">
        <f t="shared" si="2"/>
        <v>104</v>
      </c>
      <c r="C4" s="4">
        <f t="shared" si="3"/>
        <v>102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  <c r="CY4" s="4" t="s">
        <v>7</v>
      </c>
      <c r="CZ4" s="4" t="s">
        <v>7</v>
      </c>
      <c r="DA4" s="4" t="s">
        <v>7</v>
      </c>
      <c r="DB4" s="4" t="s">
        <v>7</v>
      </c>
      <c r="DC4" s="4" t="s">
        <v>7</v>
      </c>
      <c r="DD4" s="4" t="s">
        <v>7</v>
      </c>
      <c r="DE4" s="4" t="s">
        <v>7</v>
      </c>
      <c r="DF4" s="4" t="s">
        <v>7</v>
      </c>
      <c r="DG4" s="4" t="s">
        <v>7</v>
      </c>
      <c r="DH4" s="4" t="s">
        <v>7</v>
      </c>
      <c r="DI4" s="4" t="s">
        <v>7</v>
      </c>
      <c r="DJ4" s="4" t="s">
        <v>7</v>
      </c>
    </row>
    <row r="5" spans="1:114" x14ac:dyDescent="0.2">
      <c r="A5" s="2" t="s">
        <v>12</v>
      </c>
      <c r="B5" s="4">
        <f t="shared" si="2"/>
        <v>104</v>
      </c>
      <c r="C5" s="4">
        <f t="shared" si="3"/>
        <v>71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  <c r="CY5" s="4" t="s">
        <v>7</v>
      </c>
      <c r="CZ5" s="4" t="s">
        <v>7</v>
      </c>
      <c r="DA5" s="4" t="s">
        <v>7</v>
      </c>
      <c r="DB5" s="4" t="s">
        <v>7</v>
      </c>
      <c r="DC5" s="4" t="s">
        <v>7</v>
      </c>
      <c r="DD5" s="4" t="s">
        <v>7</v>
      </c>
      <c r="DE5" s="4" t="s">
        <v>7</v>
      </c>
      <c r="DF5" s="4" t="s">
        <v>7</v>
      </c>
      <c r="DG5" s="4" t="s">
        <v>7</v>
      </c>
      <c r="DH5" s="4" t="s">
        <v>7</v>
      </c>
      <c r="DI5" s="4" t="s">
        <v>7</v>
      </c>
      <c r="DJ5" s="4" t="s">
        <v>7</v>
      </c>
    </row>
    <row r="6" spans="1:114" x14ac:dyDescent="0.2">
      <c r="A6" s="2" t="s">
        <v>13</v>
      </c>
      <c r="B6" s="4">
        <f t="shared" si="2"/>
        <v>104</v>
      </c>
      <c r="C6" s="4">
        <f t="shared" si="3"/>
        <v>54</v>
      </c>
      <c r="D6" s="6">
        <f t="shared" si="4"/>
        <v>1</v>
      </c>
      <c r="E6" s="4">
        <f t="shared" si="0"/>
        <v>7</v>
      </c>
      <c r="F6" s="4">
        <f>COUNTIF(K6:VT6,"B")</f>
        <v>28</v>
      </c>
      <c r="G6" s="4">
        <f t="shared" si="5"/>
        <v>4</v>
      </c>
      <c r="H6" s="4">
        <f t="shared" si="6"/>
        <v>4</v>
      </c>
      <c r="I6" s="4">
        <f t="shared" si="7"/>
        <v>6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  <c r="CY6" s="4" t="s">
        <v>32</v>
      </c>
      <c r="CZ6" s="4" t="s">
        <v>7</v>
      </c>
      <c r="DA6" s="4" t="s">
        <v>7</v>
      </c>
      <c r="DB6" s="4" t="s">
        <v>40</v>
      </c>
      <c r="DC6" s="4" t="s">
        <v>32</v>
      </c>
      <c r="DD6" s="4" t="s">
        <v>7</v>
      </c>
      <c r="DE6" s="4" t="s">
        <v>38</v>
      </c>
      <c r="DF6" s="4" t="s">
        <v>32</v>
      </c>
      <c r="DG6" s="4" t="s">
        <v>7</v>
      </c>
      <c r="DH6" s="4" t="s">
        <v>7</v>
      </c>
      <c r="DI6" s="4" t="s">
        <v>35</v>
      </c>
      <c r="DJ6" s="4" t="s">
        <v>35</v>
      </c>
    </row>
    <row r="7" spans="1:114" x14ac:dyDescent="0.2">
      <c r="A7" s="2" t="s">
        <v>14</v>
      </c>
      <c r="B7" s="4">
        <f t="shared" si="2"/>
        <v>104</v>
      </c>
      <c r="C7" s="4">
        <f t="shared" si="3"/>
        <v>91</v>
      </c>
      <c r="D7" s="6">
        <f t="shared" si="4"/>
        <v>1</v>
      </c>
      <c r="E7" s="4">
        <f>COUNTIF(K7:VS7,"A")</f>
        <v>2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  <c r="CY7" s="4" t="s">
        <v>32</v>
      </c>
      <c r="CZ7" s="4" t="s">
        <v>7</v>
      </c>
      <c r="DA7" s="4" t="s">
        <v>7</v>
      </c>
      <c r="DB7" s="4" t="s">
        <v>7</v>
      </c>
      <c r="DC7" s="4" t="s">
        <v>7</v>
      </c>
      <c r="DD7" s="4" t="s">
        <v>7</v>
      </c>
      <c r="DE7" s="4" t="s">
        <v>7</v>
      </c>
      <c r="DF7" s="4" t="s">
        <v>7</v>
      </c>
      <c r="DG7" s="4" t="s">
        <v>7</v>
      </c>
      <c r="DH7" s="4" t="s">
        <v>7</v>
      </c>
      <c r="DI7" s="4" t="s">
        <v>7</v>
      </c>
      <c r="DJ7" s="4" t="s">
        <v>7</v>
      </c>
    </row>
    <row r="8" spans="1:114" x14ac:dyDescent="0.2">
      <c r="A8" s="2" t="s">
        <v>15</v>
      </c>
      <c r="B8" s="4">
        <f t="shared" si="2"/>
        <v>104</v>
      </c>
      <c r="C8" s="4">
        <f t="shared" si="3"/>
        <v>77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8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  <c r="CY8" s="4" t="s">
        <v>7</v>
      </c>
      <c r="CZ8" s="4" t="s">
        <v>7</v>
      </c>
      <c r="DA8" s="4" t="s">
        <v>7</v>
      </c>
      <c r="DB8" s="4" t="s">
        <v>40</v>
      </c>
      <c r="DC8" s="4" t="s">
        <v>7</v>
      </c>
      <c r="DD8" s="4" t="s">
        <v>7</v>
      </c>
      <c r="DE8" s="4" t="s">
        <v>7</v>
      </c>
      <c r="DF8" s="4" t="s">
        <v>7</v>
      </c>
      <c r="DG8" s="4" t="s">
        <v>7</v>
      </c>
      <c r="DH8" s="4" t="s">
        <v>7</v>
      </c>
      <c r="DI8" s="4" t="s">
        <v>7</v>
      </c>
      <c r="DJ8" s="4" t="s">
        <v>7</v>
      </c>
    </row>
    <row r="9" spans="1:114" x14ac:dyDescent="0.2">
      <c r="A9" s="2" t="s">
        <v>16</v>
      </c>
      <c r="B9" s="4">
        <f t="shared" si="2"/>
        <v>104</v>
      </c>
      <c r="C9" s="4">
        <f t="shared" si="3"/>
        <v>98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  <c r="CY9" s="4" t="s">
        <v>7</v>
      </c>
      <c r="CZ9" s="4" t="s">
        <v>7</v>
      </c>
      <c r="DA9" s="4" t="s">
        <v>7</v>
      </c>
      <c r="DB9" s="4" t="s">
        <v>7</v>
      </c>
      <c r="DC9" s="4" t="s">
        <v>7</v>
      </c>
      <c r="DD9" s="4" t="s">
        <v>7</v>
      </c>
      <c r="DE9" s="4" t="s">
        <v>7</v>
      </c>
      <c r="DF9" s="4" t="s">
        <v>7</v>
      </c>
      <c r="DG9" s="4" t="s">
        <v>7</v>
      </c>
      <c r="DH9" s="4" t="s">
        <v>7</v>
      </c>
      <c r="DI9" s="4" t="s">
        <v>7</v>
      </c>
      <c r="DJ9" s="4" t="s">
        <v>7</v>
      </c>
    </row>
    <row r="10" spans="1:114" x14ac:dyDescent="0.2">
      <c r="A10" s="2" t="s">
        <v>17</v>
      </c>
      <c r="B10" s="4">
        <f t="shared" si="2"/>
        <v>104</v>
      </c>
      <c r="C10" s="4">
        <f t="shared" si="3"/>
        <v>86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  <c r="CY10" s="4" t="s">
        <v>7</v>
      </c>
      <c r="CZ10" s="4" t="s">
        <v>7</v>
      </c>
      <c r="DA10" s="4" t="s">
        <v>7</v>
      </c>
      <c r="DB10" s="4" t="s">
        <v>7</v>
      </c>
      <c r="DC10" s="4" t="s">
        <v>7</v>
      </c>
      <c r="DD10" s="4" t="s">
        <v>7</v>
      </c>
      <c r="DE10" s="4" t="s">
        <v>7</v>
      </c>
      <c r="DF10" s="4" t="s">
        <v>7</v>
      </c>
      <c r="DG10" s="4" t="s">
        <v>7</v>
      </c>
      <c r="DH10" s="4" t="s">
        <v>7</v>
      </c>
      <c r="DI10" s="4" t="s">
        <v>7</v>
      </c>
      <c r="DJ10" s="4" t="s">
        <v>7</v>
      </c>
    </row>
    <row r="11" spans="1:114" x14ac:dyDescent="0.2">
      <c r="A11" s="2" t="s">
        <v>18</v>
      </c>
      <c r="B11" s="4">
        <f t="shared" si="2"/>
        <v>104</v>
      </c>
      <c r="C11" s="4">
        <f t="shared" si="3"/>
        <v>97</v>
      </c>
      <c r="D11" s="6">
        <f t="shared" si="4"/>
        <v>1</v>
      </c>
      <c r="E11" s="4">
        <f t="shared" si="0"/>
        <v>0</v>
      </c>
      <c r="F11" s="4">
        <f t="shared" si="1"/>
        <v>5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  <c r="CY11" s="4" t="s">
        <v>7</v>
      </c>
      <c r="CZ11" s="4" t="s">
        <v>7</v>
      </c>
      <c r="DA11" s="4" t="s">
        <v>7</v>
      </c>
      <c r="DB11" s="4" t="s">
        <v>7</v>
      </c>
      <c r="DC11" s="4" t="s">
        <v>7</v>
      </c>
      <c r="DD11" s="4" t="s">
        <v>7</v>
      </c>
      <c r="DE11" s="4" t="s">
        <v>7</v>
      </c>
      <c r="DF11" s="4" t="s">
        <v>7</v>
      </c>
      <c r="DG11" s="4" t="s">
        <v>7</v>
      </c>
      <c r="DH11" s="4" t="s">
        <v>7</v>
      </c>
      <c r="DI11" s="4" t="s">
        <v>35</v>
      </c>
      <c r="DJ11" s="4" t="s">
        <v>7</v>
      </c>
    </row>
    <row r="12" spans="1:114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14" x14ac:dyDescent="0.2">
      <c r="A13" s="2" t="s">
        <v>20</v>
      </c>
      <c r="B13" s="4">
        <f t="shared" si="2"/>
        <v>104</v>
      </c>
      <c r="C13" s="4">
        <f t="shared" si="3"/>
        <v>17</v>
      </c>
      <c r="D13" s="6">
        <f t="shared" si="4"/>
        <v>0</v>
      </c>
      <c r="E13" s="4">
        <f t="shared" si="0"/>
        <v>1</v>
      </c>
      <c r="F13" s="4">
        <f t="shared" si="1"/>
        <v>67</v>
      </c>
      <c r="G13" s="4">
        <f t="shared" si="5"/>
        <v>0</v>
      </c>
      <c r="H13" s="4">
        <f t="shared" si="6"/>
        <v>0</v>
      </c>
      <c r="I13" s="4">
        <f t="shared" si="7"/>
        <v>19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  <c r="CY13" s="4" t="s">
        <v>35</v>
      </c>
      <c r="CZ13" s="4" t="s">
        <v>35</v>
      </c>
      <c r="DA13" s="4" t="s">
        <v>35</v>
      </c>
      <c r="DB13" s="4" t="s">
        <v>35</v>
      </c>
      <c r="DC13" s="4" t="s">
        <v>35</v>
      </c>
      <c r="DD13" s="4" t="s">
        <v>34</v>
      </c>
      <c r="DE13" s="4" t="s">
        <v>34</v>
      </c>
      <c r="DF13" s="4" t="s">
        <v>34</v>
      </c>
      <c r="DG13" s="4" t="s">
        <v>34</v>
      </c>
      <c r="DH13" s="4" t="s">
        <v>34</v>
      </c>
      <c r="DI13" s="4" t="s">
        <v>34</v>
      </c>
      <c r="DJ13" s="4" t="s">
        <v>34</v>
      </c>
    </row>
    <row r="14" spans="1:114" x14ac:dyDescent="0.2">
      <c r="A14" s="2" t="s">
        <v>21</v>
      </c>
      <c r="B14" s="4">
        <f t="shared" si="2"/>
        <v>104</v>
      </c>
      <c r="C14" s="4">
        <f t="shared" si="3"/>
        <v>103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  <c r="CY14" s="4" t="s">
        <v>7</v>
      </c>
      <c r="CZ14" s="4" t="s">
        <v>7</v>
      </c>
      <c r="DA14" s="4" t="s">
        <v>7</v>
      </c>
      <c r="DB14" s="4" t="s">
        <v>7</v>
      </c>
      <c r="DC14" s="4" t="s">
        <v>7</v>
      </c>
      <c r="DD14" s="4" t="s">
        <v>7</v>
      </c>
      <c r="DE14" s="4" t="s">
        <v>7</v>
      </c>
      <c r="DF14" s="4" t="s">
        <v>7</v>
      </c>
      <c r="DG14" s="4" t="s">
        <v>7</v>
      </c>
      <c r="DH14" s="4" t="s">
        <v>7</v>
      </c>
      <c r="DI14" s="4" t="s">
        <v>7</v>
      </c>
      <c r="DJ14" s="4" t="s">
        <v>7</v>
      </c>
    </row>
    <row r="15" spans="1:114" x14ac:dyDescent="0.2">
      <c r="A15" s="2" t="s">
        <v>22</v>
      </c>
      <c r="B15" s="4">
        <f t="shared" si="2"/>
        <v>104</v>
      </c>
      <c r="C15" s="4">
        <f t="shared" si="3"/>
        <v>99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  <c r="CY15" s="4" t="s">
        <v>7</v>
      </c>
      <c r="CZ15" s="4" t="s">
        <v>7</v>
      </c>
      <c r="DA15" s="4" t="s">
        <v>7</v>
      </c>
      <c r="DB15" s="4" t="s">
        <v>7</v>
      </c>
      <c r="DC15" s="4" t="s">
        <v>7</v>
      </c>
      <c r="DD15" s="4" t="s">
        <v>7</v>
      </c>
      <c r="DE15" s="4" t="s">
        <v>7</v>
      </c>
      <c r="DF15" s="4" t="s">
        <v>7</v>
      </c>
      <c r="DG15" s="4" t="s">
        <v>7</v>
      </c>
      <c r="DH15" s="4" t="s">
        <v>7</v>
      </c>
      <c r="DI15" s="4" t="s">
        <v>7</v>
      </c>
      <c r="DJ15" s="4" t="s">
        <v>7</v>
      </c>
    </row>
    <row r="16" spans="1:114" x14ac:dyDescent="0.2">
      <c r="A16" s="2" t="s">
        <v>23</v>
      </c>
      <c r="B16" s="4">
        <f t="shared" si="2"/>
        <v>102</v>
      </c>
      <c r="C16" s="4">
        <f t="shared" si="3"/>
        <v>82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  <c r="CY16" s="4" t="s">
        <v>7</v>
      </c>
      <c r="CZ16" s="4" t="s">
        <v>7</v>
      </c>
      <c r="DA16" s="4" t="s">
        <v>7</v>
      </c>
      <c r="DB16" s="4" t="s">
        <v>7</v>
      </c>
      <c r="DC16" s="4" t="s">
        <v>7</v>
      </c>
      <c r="DD16" s="4" t="s">
        <v>7</v>
      </c>
      <c r="DE16" s="4" t="s">
        <v>7</v>
      </c>
      <c r="DF16" s="4" t="s">
        <v>7</v>
      </c>
      <c r="DG16" s="4" t="s">
        <v>7</v>
      </c>
      <c r="DH16" s="4" t="s">
        <v>7</v>
      </c>
      <c r="DI16" s="4"/>
      <c r="DJ16" s="4"/>
    </row>
    <row r="17" spans="1:114" x14ac:dyDescent="0.2">
      <c r="A17" s="2" t="s">
        <v>24</v>
      </c>
      <c r="B17" s="4">
        <f t="shared" si="2"/>
        <v>95</v>
      </c>
      <c r="C17" s="4">
        <f t="shared" si="3"/>
        <v>70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  <c r="CY17" s="4" t="s">
        <v>7</v>
      </c>
      <c r="CZ17" s="4" t="s">
        <v>7</v>
      </c>
      <c r="DA17" s="4" t="s">
        <v>7</v>
      </c>
      <c r="DB17" s="4"/>
      <c r="DC17" s="4"/>
      <c r="DD17" s="4"/>
      <c r="DE17" s="4"/>
      <c r="DF17" s="4"/>
      <c r="DG17" s="4"/>
      <c r="DH17" s="4"/>
      <c r="DI17" s="4"/>
      <c r="DJ17" s="4"/>
    </row>
    <row r="18" spans="1:114" x14ac:dyDescent="0.2">
      <c r="A18" s="2" t="s">
        <v>25</v>
      </c>
      <c r="B18" s="4">
        <f t="shared" si="2"/>
        <v>104</v>
      </c>
      <c r="C18" s="4">
        <f t="shared" si="3"/>
        <v>89</v>
      </c>
      <c r="D18" s="6">
        <f t="shared" si="4"/>
        <v>0</v>
      </c>
      <c r="E18" s="4">
        <f t="shared" si="0"/>
        <v>0</v>
      </c>
      <c r="F18" s="4">
        <f t="shared" si="1"/>
        <v>10</v>
      </c>
      <c r="G18" s="4">
        <f t="shared" si="5"/>
        <v>1</v>
      </c>
      <c r="H18" s="4">
        <f t="shared" si="6"/>
        <v>0</v>
      </c>
      <c r="I18" s="4">
        <f t="shared" si="7"/>
        <v>4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  <c r="CY18" s="4" t="s">
        <v>35</v>
      </c>
      <c r="CZ18" s="4" t="s">
        <v>7</v>
      </c>
      <c r="DA18" s="4" t="s">
        <v>7</v>
      </c>
      <c r="DB18" s="4" t="s">
        <v>7</v>
      </c>
      <c r="DC18" s="4" t="s">
        <v>35</v>
      </c>
      <c r="DD18" s="4" t="s">
        <v>35</v>
      </c>
      <c r="DE18" s="4" t="s">
        <v>35</v>
      </c>
      <c r="DF18" s="4" t="s">
        <v>35</v>
      </c>
      <c r="DG18" s="4" t="s">
        <v>34</v>
      </c>
      <c r="DH18" s="4" t="s">
        <v>34</v>
      </c>
      <c r="DI18" s="4" t="s">
        <v>35</v>
      </c>
      <c r="DJ18" s="4" t="s">
        <v>7</v>
      </c>
    </row>
    <row r="19" spans="1:114" x14ac:dyDescent="0.2">
      <c r="A19" s="2" t="s">
        <v>26</v>
      </c>
      <c r="B19" s="4">
        <f t="shared" si="2"/>
        <v>104</v>
      </c>
      <c r="C19" s="4">
        <f t="shared" si="3"/>
        <v>92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1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  <c r="CY19" s="4" t="s">
        <v>7</v>
      </c>
      <c r="CZ19" s="4" t="s">
        <v>7</v>
      </c>
      <c r="DA19" s="4" t="s">
        <v>7</v>
      </c>
      <c r="DB19" s="4" t="s">
        <v>7</v>
      </c>
      <c r="DC19" s="4" t="s">
        <v>7</v>
      </c>
      <c r="DD19" s="4" t="s">
        <v>7</v>
      </c>
      <c r="DE19" s="4" t="s">
        <v>7</v>
      </c>
      <c r="DF19" s="4" t="s">
        <v>7</v>
      </c>
      <c r="DG19" s="4" t="s">
        <v>7</v>
      </c>
      <c r="DH19" s="4" t="s">
        <v>7</v>
      </c>
      <c r="DI19" s="4" t="s">
        <v>7</v>
      </c>
      <c r="DJ19" s="4" t="s">
        <v>7</v>
      </c>
    </row>
    <row r="20" spans="1:114" x14ac:dyDescent="0.2">
      <c r="A20" s="2" t="s">
        <v>27</v>
      </c>
      <c r="B20" s="4">
        <f t="shared" si="2"/>
        <v>104</v>
      </c>
      <c r="C20" s="4">
        <f t="shared" si="3"/>
        <v>101</v>
      </c>
      <c r="D20" s="6">
        <f t="shared" si="4"/>
        <v>0</v>
      </c>
      <c r="E20" s="4">
        <f t="shared" si="0"/>
        <v>0</v>
      </c>
      <c r="F20" s="4">
        <f t="shared" si="1"/>
        <v>2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  <c r="CY20" s="4" t="s">
        <v>7</v>
      </c>
      <c r="CZ20" s="4" t="s">
        <v>7</v>
      </c>
      <c r="DA20" s="4" t="s">
        <v>7</v>
      </c>
      <c r="DB20" s="4" t="s">
        <v>7</v>
      </c>
      <c r="DC20" s="4" t="s">
        <v>7</v>
      </c>
      <c r="DD20" s="4" t="s">
        <v>7</v>
      </c>
      <c r="DE20" s="4" t="s">
        <v>7</v>
      </c>
      <c r="DF20" s="4" t="s">
        <v>7</v>
      </c>
      <c r="DG20" s="4" t="s">
        <v>7</v>
      </c>
      <c r="DH20" s="4" t="s">
        <v>7</v>
      </c>
      <c r="DI20" s="4" t="s">
        <v>7</v>
      </c>
      <c r="DJ20" s="4" t="s">
        <v>35</v>
      </c>
    </row>
    <row r="21" spans="1:114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14" x14ac:dyDescent="0.2">
      <c r="A22" s="4" t="s">
        <v>29</v>
      </c>
      <c r="B22" s="4">
        <f t="shared" ref="B22:B26" si="9">COUNTA(K22:VR22)</f>
        <v>104</v>
      </c>
      <c r="C22" s="4">
        <f t="shared" ref="C22:C26" si="10">COUNTIF(K22:VR22,"P")</f>
        <v>100</v>
      </c>
      <c r="D22" s="6">
        <f t="shared" si="4"/>
        <v>3</v>
      </c>
      <c r="E22" s="4">
        <f t="shared" si="0"/>
        <v>0</v>
      </c>
      <c r="F22" s="4">
        <f t="shared" si="1"/>
        <v>0</v>
      </c>
      <c r="G22" s="4">
        <f t="shared" si="5"/>
        <v>1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  <c r="CY22" s="4" t="s">
        <v>42</v>
      </c>
      <c r="CZ22" s="4" t="s">
        <v>38</v>
      </c>
      <c r="DA22" s="4" t="s">
        <v>7</v>
      </c>
      <c r="DB22" s="4" t="s">
        <v>7</v>
      </c>
      <c r="DC22" s="4" t="s">
        <v>7</v>
      </c>
      <c r="DD22" s="4" t="s">
        <v>7</v>
      </c>
      <c r="DE22" s="4" t="s">
        <v>7</v>
      </c>
      <c r="DF22" s="4" t="s">
        <v>7</v>
      </c>
      <c r="DG22" s="4" t="s">
        <v>7</v>
      </c>
      <c r="DH22" s="4" t="s">
        <v>7</v>
      </c>
      <c r="DI22" s="4" t="s">
        <v>7</v>
      </c>
      <c r="DJ22" s="4" t="s">
        <v>7</v>
      </c>
    </row>
    <row r="23" spans="1:114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14" x14ac:dyDescent="0.2">
      <c r="A24" s="2" t="s">
        <v>31</v>
      </c>
      <c r="B24" s="4">
        <f t="shared" si="9"/>
        <v>104</v>
      </c>
      <c r="C24" s="4">
        <f t="shared" si="10"/>
        <v>97</v>
      </c>
      <c r="D24" s="6">
        <f t="shared" si="4"/>
        <v>0</v>
      </c>
      <c r="E24" s="4">
        <f t="shared" si="0"/>
        <v>1</v>
      </c>
      <c r="F24" s="4">
        <f t="shared" si="1"/>
        <v>5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  <c r="CY24" s="4" t="s">
        <v>7</v>
      </c>
      <c r="CZ24" s="4" t="s">
        <v>7</v>
      </c>
      <c r="DA24" s="4" t="s">
        <v>7</v>
      </c>
      <c r="DB24" s="4" t="s">
        <v>7</v>
      </c>
      <c r="DC24" s="4" t="s">
        <v>7</v>
      </c>
      <c r="DD24" s="4" t="s">
        <v>7</v>
      </c>
      <c r="DE24" s="4" t="s">
        <v>7</v>
      </c>
      <c r="DF24" s="4" t="s">
        <v>7</v>
      </c>
      <c r="DG24" s="4" t="s">
        <v>7</v>
      </c>
      <c r="DH24" s="4" t="s">
        <v>7</v>
      </c>
      <c r="DI24" s="4" t="s">
        <v>7</v>
      </c>
      <c r="DJ24" s="4" t="s">
        <v>7</v>
      </c>
    </row>
    <row r="25" spans="1:114" x14ac:dyDescent="0.2">
      <c r="A25" s="2" t="s">
        <v>39</v>
      </c>
      <c r="B25" s="4">
        <f t="shared" si="9"/>
        <v>96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5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  <c r="CY25" s="4" t="s">
        <v>40</v>
      </c>
      <c r="CZ25" s="4" t="s">
        <v>40</v>
      </c>
      <c r="DA25" s="4" t="s">
        <v>40</v>
      </c>
      <c r="DB25" s="4" t="s">
        <v>40</v>
      </c>
      <c r="DC25" s="4"/>
      <c r="DD25" s="4"/>
      <c r="DE25" s="4"/>
      <c r="DF25" s="4"/>
      <c r="DG25" s="4"/>
      <c r="DH25" s="4"/>
      <c r="DI25" s="4"/>
      <c r="DJ25" s="4"/>
    </row>
    <row r="26" spans="1:114" x14ac:dyDescent="0.2">
      <c r="A26" s="2" t="s">
        <v>36</v>
      </c>
      <c r="B26" s="4">
        <f t="shared" si="9"/>
        <v>104</v>
      </c>
      <c r="C26" s="4">
        <f t="shared" si="10"/>
        <v>91</v>
      </c>
      <c r="D26" s="6">
        <f t="shared" si="4"/>
        <v>0</v>
      </c>
      <c r="E26" s="4">
        <f t="shared" si="0"/>
        <v>4</v>
      </c>
      <c r="F26" s="4">
        <f t="shared" si="1"/>
        <v>3</v>
      </c>
      <c r="G26" s="4">
        <f t="shared" si="5"/>
        <v>5</v>
      </c>
      <c r="H26" s="4">
        <f t="shared" si="6"/>
        <v>0</v>
      </c>
      <c r="I26" s="4">
        <f t="shared" si="7"/>
        <v>1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  <c r="CY26" s="4" t="s">
        <v>7</v>
      </c>
      <c r="CZ26" s="4" t="s">
        <v>7</v>
      </c>
      <c r="DA26" s="4" t="s">
        <v>35</v>
      </c>
      <c r="DB26" s="4" t="s">
        <v>35</v>
      </c>
      <c r="DC26" s="4" t="s">
        <v>34</v>
      </c>
      <c r="DD26" s="4" t="s">
        <v>7</v>
      </c>
      <c r="DE26" s="4" t="s">
        <v>7</v>
      </c>
      <c r="DF26" s="4" t="s">
        <v>32</v>
      </c>
      <c r="DG26" s="4" t="s">
        <v>32</v>
      </c>
      <c r="DH26" s="4" t="s">
        <v>32</v>
      </c>
      <c r="DI26" s="4" t="s">
        <v>32</v>
      </c>
      <c r="DJ26" s="4" t="s">
        <v>7</v>
      </c>
    </row>
    <row r="27" spans="1:114" x14ac:dyDescent="0.2">
      <c r="A27" s="2" t="s">
        <v>37</v>
      </c>
      <c r="B27" s="4">
        <f t="shared" ref="B27:B29" si="11">COUNTA(K27:VR27)</f>
        <v>94</v>
      </c>
      <c r="C27" s="4">
        <f t="shared" ref="C27:C29" si="12">COUNTIF(K27:VR27,"P")</f>
        <v>64</v>
      </c>
      <c r="D27" s="6">
        <f t="shared" ref="D27:D29" si="13">COUNTIF(K27:VR27,"REP")</f>
        <v>7</v>
      </c>
      <c r="E27" s="4">
        <f t="shared" ref="E27:E29" si="14">COUNTIF(K27:VS27,"A")</f>
        <v>0</v>
      </c>
      <c r="F27" s="4">
        <f t="shared" ref="F27:F29" si="15">COUNTIF(K27:VT27,"B")</f>
        <v>0</v>
      </c>
      <c r="G27" s="4">
        <f t="shared" ref="G27:G29" si="16">COUNTIF(K27:VU27,"M")</f>
        <v>1</v>
      </c>
      <c r="H27" s="4">
        <f t="shared" ref="H27:H29" si="17">COUNTIF(K27:VV27,"R")</f>
        <v>0</v>
      </c>
      <c r="I27" s="4">
        <f t="shared" ref="I27:I29" si="18">COUNTIF(K27:VW27,"RH")</f>
        <v>22</v>
      </c>
      <c r="J27" s="4">
        <f t="shared" ref="J27:J29" si="19">COUNTIF(K27:VW27,"S")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  <c r="CY27" s="4" t="s">
        <v>7</v>
      </c>
      <c r="CZ27" s="4" t="s">
        <v>7</v>
      </c>
      <c r="DA27" s="4" t="s">
        <v>7</v>
      </c>
      <c r="DB27" s="4" t="s">
        <v>7</v>
      </c>
      <c r="DC27" s="4" t="s">
        <v>42</v>
      </c>
      <c r="DD27" s="4" t="s">
        <v>7</v>
      </c>
      <c r="DE27" s="4" t="s">
        <v>7</v>
      </c>
      <c r="DF27" s="4" t="s">
        <v>7</v>
      </c>
      <c r="DG27" s="4" t="s">
        <v>7</v>
      </c>
      <c r="DH27" s="4" t="s">
        <v>7</v>
      </c>
      <c r="DI27" s="4" t="s">
        <v>7</v>
      </c>
      <c r="DJ27" s="4" t="s">
        <v>7</v>
      </c>
    </row>
    <row r="28" spans="1:114" x14ac:dyDescent="0.2">
      <c r="A28" s="2" t="s">
        <v>44</v>
      </c>
      <c r="B28" s="4">
        <f t="shared" si="11"/>
        <v>72</v>
      </c>
      <c r="C28" s="4">
        <f t="shared" si="12"/>
        <v>70</v>
      </c>
      <c r="D28" s="6">
        <f t="shared" si="13"/>
        <v>1</v>
      </c>
      <c r="E28" s="4">
        <f t="shared" si="14"/>
        <v>0</v>
      </c>
      <c r="F28" s="4">
        <f t="shared" si="15"/>
        <v>0</v>
      </c>
      <c r="G28" s="4">
        <f t="shared" si="16"/>
        <v>1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  <c r="CY28" s="4" t="s">
        <v>7</v>
      </c>
      <c r="CZ28" s="4" t="s">
        <v>7</v>
      </c>
      <c r="DA28" s="4" t="s">
        <v>7</v>
      </c>
      <c r="DB28" s="4" t="s">
        <v>7</v>
      </c>
      <c r="DC28" s="4" t="s">
        <v>38</v>
      </c>
      <c r="DD28" s="4" t="s">
        <v>7</v>
      </c>
      <c r="DE28" s="4" t="s">
        <v>7</v>
      </c>
      <c r="DF28" s="4" t="s">
        <v>7</v>
      </c>
      <c r="DG28" s="4" t="s">
        <v>7</v>
      </c>
      <c r="DH28" s="4" t="s">
        <v>7</v>
      </c>
      <c r="DI28" s="4" t="s">
        <v>7</v>
      </c>
      <c r="DJ28" s="4" t="s">
        <v>7</v>
      </c>
    </row>
    <row r="29" spans="1:114" x14ac:dyDescent="0.2">
      <c r="A29" s="2" t="s">
        <v>43</v>
      </c>
      <c r="B29" s="4">
        <f t="shared" si="11"/>
        <v>72</v>
      </c>
      <c r="C29" s="4">
        <f t="shared" si="12"/>
        <v>64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  <c r="CY29" s="4" t="s">
        <v>7</v>
      </c>
      <c r="CZ29" s="4" t="s">
        <v>7</v>
      </c>
      <c r="DA29" s="4" t="s">
        <v>7</v>
      </c>
      <c r="DB29" s="4" t="s">
        <v>7</v>
      </c>
      <c r="DC29" s="4" t="s">
        <v>7</v>
      </c>
      <c r="DD29" s="4" t="s">
        <v>7</v>
      </c>
      <c r="DE29" s="4" t="s">
        <v>7</v>
      </c>
      <c r="DF29" s="4" t="s">
        <v>7</v>
      </c>
      <c r="DG29" s="4" t="s">
        <v>7</v>
      </c>
      <c r="DH29" s="4" t="s">
        <v>7</v>
      </c>
      <c r="DI29" s="4" t="s">
        <v>7</v>
      </c>
      <c r="DJ29" s="4" t="s">
        <v>7</v>
      </c>
    </row>
    <row r="30" spans="1:114" x14ac:dyDescent="0.2">
      <c r="A30" s="2" t="s">
        <v>46</v>
      </c>
      <c r="B30" s="4">
        <f t="shared" ref="B30" si="20">COUNTA(K30:VR30)</f>
        <v>17</v>
      </c>
      <c r="C30" s="4">
        <f t="shared" ref="C30" si="21">COUNTIF(K30:VR30,"P")</f>
        <v>17</v>
      </c>
      <c r="D30" s="6">
        <f t="shared" ref="D30" si="22">COUNTIF(K30:VR30,"REP")</f>
        <v>0</v>
      </c>
      <c r="E30" s="4">
        <f t="shared" ref="E30" si="23">COUNTIF(K30:VS30,"A")</f>
        <v>0</v>
      </c>
      <c r="F30" s="4">
        <f t="shared" ref="F30" si="24">COUNTIF(K30:VT30,"B")</f>
        <v>0</v>
      </c>
      <c r="G30" s="4">
        <f t="shared" ref="G30" si="25">COUNTIF(K30:VU30,"M")</f>
        <v>0</v>
      </c>
      <c r="H30" s="4">
        <f t="shared" ref="H30" si="26">COUNTIF(K30:VV30,"R")</f>
        <v>0</v>
      </c>
      <c r="I30" s="4">
        <f t="shared" ref="I30" si="27">COUNTIF(K30:VW30,"RH")</f>
        <v>0</v>
      </c>
      <c r="J30" s="4">
        <f t="shared" ref="J30" si="28">COUNTIF(K30:VW30,"S")</f>
        <v>0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  <c r="CY30" s="4" t="s">
        <v>7</v>
      </c>
      <c r="CZ30" s="4" t="s">
        <v>7</v>
      </c>
      <c r="DA30" s="4" t="s">
        <v>7</v>
      </c>
      <c r="DB30" s="4" t="s">
        <v>7</v>
      </c>
      <c r="DC30" s="4" t="s">
        <v>7</v>
      </c>
      <c r="DD30" s="4" t="s">
        <v>7</v>
      </c>
      <c r="DE30" s="4" t="s">
        <v>7</v>
      </c>
      <c r="DF30" s="4" t="s">
        <v>7</v>
      </c>
      <c r="DG30" s="4" t="s">
        <v>7</v>
      </c>
      <c r="DH30" s="4" t="s">
        <v>7</v>
      </c>
      <c r="DI30" s="4" t="s">
        <v>7</v>
      </c>
      <c r="DJ30" s="4" t="s">
        <v>7</v>
      </c>
    </row>
    <row r="31" spans="1:114" x14ac:dyDescent="0.2">
      <c r="A31" s="2" t="s">
        <v>47</v>
      </c>
      <c r="B31" s="4">
        <f t="shared" ref="B31" si="29">COUNTA(K31:VR31)</f>
        <v>5</v>
      </c>
      <c r="C31" s="4">
        <f t="shared" ref="C31" si="30">COUNTIF(K31:VR31,"P")</f>
        <v>5</v>
      </c>
      <c r="D31" s="6">
        <f t="shared" ref="D31" si="31">COUNTIF(K31:VR31,"REP")</f>
        <v>0</v>
      </c>
      <c r="E31" s="4">
        <f t="shared" ref="E31" si="32">COUNTIF(K31:VS31,"A")</f>
        <v>0</v>
      </c>
      <c r="F31" s="4">
        <f t="shared" ref="F31" si="33">COUNTIF(K31:VT31,"B")</f>
        <v>0</v>
      </c>
      <c r="G31" s="4">
        <f t="shared" ref="G31" si="34">COUNTIF(K31:VU31,"M")</f>
        <v>0</v>
      </c>
      <c r="H31" s="4">
        <f t="shared" ref="H31" si="35">COUNTIF(K31:VV31,"R")</f>
        <v>0</v>
      </c>
      <c r="I31" s="4">
        <f t="shared" ref="I31" si="36">COUNTIF(K31:VW31,"RH")</f>
        <v>0</v>
      </c>
      <c r="J31" s="4">
        <f t="shared" ref="J31" si="37">COUNTIF(K31:VW31,"S")</f>
        <v>0</v>
      </c>
      <c r="DF31" s="4" t="s">
        <v>7</v>
      </c>
      <c r="DG31" s="4" t="s">
        <v>7</v>
      </c>
      <c r="DH31" s="4" t="s">
        <v>7</v>
      </c>
      <c r="DI31" s="4" t="s">
        <v>7</v>
      </c>
      <c r="DJ31" s="4" t="s">
        <v>7</v>
      </c>
    </row>
  </sheetData>
  <conditionalFormatting sqref="A21:A31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2026-02-03T12:40:10Z</dcterms:modified>
</cp:coreProperties>
</file>