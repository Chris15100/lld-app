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46CB0186-85B2-C140-991D-1F9DF034AD0C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<sst xmlns="http://schemas.openxmlformats.org/spreadsheetml/2006/main" count="3862" uniqueCount="49">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</sst>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FC32"/>
  <sheetViews>
    <sheetView tabSelected="1" workbookViewId="0">
      <pane xSplit="1" topLeftCell="FC1" activePane="topRight" state="frozen"/>
      <selection pane="topRight" activeCell="FG16" sqref="FG16"/>
    </sheetView>
  </sheetViews>
  <sheetFormatPr baseColWidth="10" defaultRowHeight="16" x14ac:dyDescent="0.2"/>
  <cols>
    <col min="1" max="1" width="17.1640625" customWidth="1"/>
  </cols>
  <sheetData>
    <row r="1" spans="1:159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  <c r="DW1" s="3">
        <v>46077</v>
      </c>
      <c r="DX1" s="3">
        <v>46078</v>
      </c>
      <c r="DY1" s="3">
        <v>46079</v>
      </c>
      <c r="DZ1" s="3">
        <v>46084</v>
      </c>
      <c r="EA1" s="3">
        <v>46085</v>
      </c>
      <c r="EB1" s="3">
        <v>46087</v>
      </c>
      <c r="EC1" s="3">
        <v>46091</v>
      </c>
      <c r="ED1" s="3">
        <v>46092</v>
      </c>
      <c r="EE1" s="3">
        <v>46093</v>
      </c>
      <c r="EF1" s="3">
        <v>46097</v>
      </c>
      <c r="EG1" s="3">
        <v>46098</v>
      </c>
      <c r="EH1" s="3">
        <v>46099</v>
      </c>
      <c r="EI1" s="3">
        <v>46101</v>
      </c>
      <c r="EJ1" s="3">
        <v>46105</v>
      </c>
      <c r="EK1" s="3">
        <v>46106</v>
      </c>
      <c r="EL1" s="3">
        <v>46108</v>
      </c>
      <c r="EM1" s="3">
        <v>46112</v>
      </c>
      <c r="EN1" s="3">
        <v>46113</v>
      </c>
      <c r="EO1" s="3">
        <v>46115</v>
      </c>
      <c r="EP1" s="3">
        <v>46119</v>
      </c>
      <c r="EQ1" s="3">
        <v>46120</v>
      </c>
      <c r="ER1" s="3">
        <v>46122</v>
      </c>
      <c r="ES1" s="3">
        <v>46126</v>
      </c>
      <c r="ET1" s="3">
        <v>46127</v>
      </c>
      <c r="EU1" s="3">
        <v>46129</v>
      </c>
      <c r="EV1" s="3">
        <v>46133</v>
      </c>
      <c r="EW1" s="3">
        <v>46134</v>
      </c>
      <c r="EX1" s="3">
        <v>46136</v>
      </c>
      <c r="EY1" s="3">
        <v>46140</v>
      </c>
      <c r="EZ1" s="3">
        <v>46141</v>
      </c>
      <c r="FA1" s="3">
        <v>46142</v>
      </c>
      <c r="FB1" s="5">
        <v>46146</v>
      </c>
      <c r="FC1" s="5">
        <v>46147</v>
      </c>
    </row>
    <row r="2" spans="1:159" x14ac:dyDescent="0.2">
      <c r="A2" s="2" t="s">
        <v>9</v>
      </c>
      <c r="B2" s="4">
        <f>COUNTA(K2:VR2)</f>
        <v>149</v>
      </c>
      <c r="C2" s="4">
        <f>COUNTIF(K2:VR2,"P")</f>
        <v>145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  <c r="DW2" s="4" t="s">
        <v>7</v>
      </c>
      <c r="DX2" s="4" t="s">
        <v>7</v>
      </c>
      <c r="DY2" s="4" t="s">
        <v>7</v>
      </c>
      <c r="DZ2" s="4" t="s">
        <v>7</v>
      </c>
      <c r="EA2" s="4" t="s">
        <v>7</v>
      </c>
      <c r="EB2" s="4" t="s">
        <v>7</v>
      </c>
      <c r="EC2" s="4" t="s">
        <v>7</v>
      </c>
      <c r="ED2" s="4" t="s">
        <v>7</v>
      </c>
      <c r="EE2" s="4" t="s">
        <v>7</v>
      </c>
      <c r="EF2" s="4" t="s">
        <v>7</v>
      </c>
      <c r="EG2" s="4" t="s">
        <v>7</v>
      </c>
      <c r="EH2" s="4" t="s">
        <v>7</v>
      </c>
      <c r="EI2" s="4" t="s">
        <v>7</v>
      </c>
      <c r="EJ2" s="4" t="s">
        <v>7</v>
      </c>
      <c r="EK2" s="4" t="s">
        <v>7</v>
      </c>
      <c r="EL2" s="4" t="s">
        <v>7</v>
      </c>
      <c r="EM2" s="4" t="s">
        <v>7</v>
      </c>
      <c r="EN2" s="4" t="s">
        <v>7</v>
      </c>
      <c r="EO2" s="4" t="s">
        <v>7</v>
      </c>
      <c r="EP2" s="4" t="s">
        <v>7</v>
      </c>
      <c r="EQ2" s="4" t="s">
        <v>7</v>
      </c>
      <c r="ER2" s="4" t="s">
        <v>7</v>
      </c>
      <c r="ES2" s="4" t="s">
        <v>7</v>
      </c>
      <c r="ET2" s="4" t="s">
        <v>7</v>
      </c>
      <c r="EU2" s="4" t="s">
        <v>7</v>
      </c>
      <c r="EV2" s="4" t="s">
        <v>7</v>
      </c>
      <c r="EW2" s="4" t="s">
        <v>7</v>
      </c>
      <c r="EX2" s="4" t="s">
        <v>7</v>
      </c>
      <c r="EY2" s="4" t="s">
        <v>7</v>
      </c>
      <c r="EZ2" s="4" t="s">
        <v>7</v>
      </c>
      <c r="FA2" s="4" t="s">
        <v>7</v>
      </c>
      <c r="FB2" s="4" t="s">
        <v>7</v>
      </c>
      <c r="FC2" s="4" t="s">
        <v>7</v>
      </c>
    </row>
    <row r="3" spans="1:159" x14ac:dyDescent="0.2">
      <c r="A3" s="2" t="s">
        <v>10</v>
      </c>
      <c r="B3" s="4">
        <f t="shared" ref="B3:B21" si="2">COUNTA(K3:VR3)</f>
        <v>149</v>
      </c>
      <c r="C3" s="4">
        <f t="shared" ref="C3:C21" si="3">COUNTIF(K3:VR3,"P")</f>
        <v>113</v>
      </c>
      <c r="D3" s="6">
        <f t="shared" ref="D3:D26" si="4">COUNTIF(K3:VR3,"REP")</f>
        <v>0</v>
      </c>
      <c r="E3" s="4">
        <f t="shared" si="0"/>
        <v>2</v>
      </c>
      <c r="F3" s="4">
        <f t="shared" si="1"/>
        <v>7</v>
      </c>
      <c r="G3" s="4">
        <f t="shared" ref="G3:G26" si="5">COUNTIF(K3:VU3,"M")</f>
        <v>6</v>
      </c>
      <c r="H3" s="4">
        <f t="shared" ref="H3:H26" si="6">COUNTIF(K3:VV3,"R")</f>
        <v>21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  <c r="DW3" s="4" t="s">
        <v>7</v>
      </c>
      <c r="DX3" s="4" t="s">
        <v>32</v>
      </c>
      <c r="DY3" s="4" t="s">
        <v>40</v>
      </c>
      <c r="DZ3" s="4" t="s">
        <v>7</v>
      </c>
      <c r="EA3" s="4" t="s">
        <v>7</v>
      </c>
      <c r="EB3" s="4" t="s">
        <v>40</v>
      </c>
      <c r="EC3" s="4" t="s">
        <v>7</v>
      </c>
      <c r="ED3" s="4" t="s">
        <v>7</v>
      </c>
      <c r="EE3" s="4" t="s">
        <v>7</v>
      </c>
      <c r="EF3" s="4" t="s">
        <v>7</v>
      </c>
      <c r="EG3" s="4" t="s">
        <v>7</v>
      </c>
      <c r="EH3" s="4" t="s">
        <v>7</v>
      </c>
      <c r="EI3" s="4" t="s">
        <v>40</v>
      </c>
      <c r="EJ3" s="4" t="s">
        <v>38</v>
      </c>
      <c r="EK3" s="4" t="s">
        <v>38</v>
      </c>
      <c r="EL3" s="4" t="s">
        <v>40</v>
      </c>
      <c r="EM3" s="4" t="s">
        <v>7</v>
      </c>
      <c r="EN3" s="4" t="s">
        <v>7</v>
      </c>
      <c r="EO3" s="4" t="s">
        <v>40</v>
      </c>
      <c r="EP3" s="4" t="s">
        <v>7</v>
      </c>
      <c r="EQ3" s="4" t="s">
        <v>32</v>
      </c>
      <c r="ER3" s="4" t="s">
        <v>40</v>
      </c>
      <c r="ES3" s="4" t="s">
        <v>7</v>
      </c>
      <c r="ET3" s="4" t="s">
        <v>7</v>
      </c>
      <c r="EU3" s="4" t="s">
        <v>7</v>
      </c>
      <c r="EV3" s="4" t="s">
        <v>7</v>
      </c>
      <c r="EW3" s="4" t="s">
        <v>7</v>
      </c>
      <c r="EX3" s="4" t="s">
        <v>40</v>
      </c>
      <c r="EY3" s="4" t="s">
        <v>35</v>
      </c>
      <c r="EZ3" s="4" t="s">
        <v>35</v>
      </c>
      <c r="FA3" s="4" t="s">
        <v>35</v>
      </c>
      <c r="FB3" s="4" t="s">
        <v>35</v>
      </c>
      <c r="FC3" s="4" t="s">
        <v>35</v>
      </c>
    </row>
    <row r="4" spans="1:159" x14ac:dyDescent="0.2">
      <c r="A4" s="2" t="s">
        <v>11</v>
      </c>
      <c r="B4" s="4">
        <f t="shared" si="2"/>
        <v>149</v>
      </c>
      <c r="C4" s="4">
        <f t="shared" si="3"/>
        <v>146</v>
      </c>
      <c r="D4" s="6">
        <f t="shared" si="4"/>
        <v>1</v>
      </c>
      <c r="E4" s="4">
        <f t="shared" si="0"/>
        <v>1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  <c r="DW4" s="4" t="s">
        <v>7</v>
      </c>
      <c r="DX4" s="4" t="s">
        <v>7</v>
      </c>
      <c r="DY4" s="4" t="s">
        <v>7</v>
      </c>
      <c r="DZ4" s="4" t="s">
        <v>7</v>
      </c>
      <c r="EA4" s="4" t="s">
        <v>7</v>
      </c>
      <c r="EB4" s="4" t="s">
        <v>7</v>
      </c>
      <c r="EC4" s="4" t="s">
        <v>7</v>
      </c>
      <c r="ED4" s="4" t="s">
        <v>7</v>
      </c>
      <c r="EE4" s="4" t="s">
        <v>7</v>
      </c>
      <c r="EF4" s="4" t="s">
        <v>7</v>
      </c>
      <c r="EG4" s="4" t="s">
        <v>7</v>
      </c>
      <c r="EH4" s="4" t="s">
        <v>7</v>
      </c>
      <c r="EI4" s="4" t="s">
        <v>7</v>
      </c>
      <c r="EJ4" s="4" t="s">
        <v>7</v>
      </c>
      <c r="EK4" s="4" t="s">
        <v>7</v>
      </c>
      <c r="EL4" s="4" t="s">
        <v>7</v>
      </c>
      <c r="EM4" s="4" t="s">
        <v>32</v>
      </c>
      <c r="EN4" s="4" t="s">
        <v>7</v>
      </c>
      <c r="EO4" s="4" t="s">
        <v>7</v>
      </c>
      <c r="EP4" s="4" t="s">
        <v>7</v>
      </c>
      <c r="EQ4" s="4" t="s">
        <v>7</v>
      </c>
      <c r="ER4" s="4" t="s">
        <v>7</v>
      </c>
      <c r="ES4" s="4" t="s">
        <v>7</v>
      </c>
      <c r="ET4" s="4" t="s">
        <v>7</v>
      </c>
      <c r="EU4" s="4" t="s">
        <v>7</v>
      </c>
      <c r="EV4" s="4" t="s">
        <v>7</v>
      </c>
      <c r="EW4" s="4" t="s">
        <v>7</v>
      </c>
      <c r="EX4" s="4" t="s">
        <v>7</v>
      </c>
      <c r="EY4" s="4" t="s">
        <v>7</v>
      </c>
      <c r="EZ4" s="4" t="s">
        <v>7</v>
      </c>
      <c r="FA4" s="4" t="s">
        <v>7</v>
      </c>
      <c r="FB4" s="4" t="s">
        <v>7</v>
      </c>
      <c r="FC4" s="4" t="s">
        <v>7</v>
      </c>
    </row>
    <row r="5" spans="1:159" x14ac:dyDescent="0.2">
      <c r="A5" s="2" t="s">
        <v>12</v>
      </c>
      <c r="B5" s="4">
        <f t="shared" si="2"/>
        <v>149</v>
      </c>
      <c r="C5" s="4">
        <f t="shared" si="3"/>
        <v>111</v>
      </c>
      <c r="D5" s="6">
        <f t="shared" si="4"/>
        <v>1</v>
      </c>
      <c r="E5" s="4">
        <f t="shared" si="0"/>
        <v>0</v>
      </c>
      <c r="F5" s="4">
        <f t="shared" si="1"/>
        <v>24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  <c r="DW5" s="4" t="s">
        <v>7</v>
      </c>
      <c r="DX5" s="4" t="s">
        <v>7</v>
      </c>
      <c r="DY5" s="4" t="s">
        <v>7</v>
      </c>
      <c r="DZ5" s="4" t="s">
        <v>7</v>
      </c>
      <c r="EA5" s="4" t="s">
        <v>7</v>
      </c>
      <c r="EB5" s="4" t="s">
        <v>7</v>
      </c>
      <c r="EC5" s="4" t="s">
        <v>7</v>
      </c>
      <c r="ED5" s="4" t="s">
        <v>7</v>
      </c>
      <c r="EE5" s="4" t="s">
        <v>7</v>
      </c>
      <c r="EF5" s="4" t="s">
        <v>7</v>
      </c>
      <c r="EG5" s="4" t="s">
        <v>7</v>
      </c>
      <c r="EH5" s="4" t="s">
        <v>7</v>
      </c>
      <c r="EI5" s="4" t="s">
        <v>7</v>
      </c>
      <c r="EJ5" s="4" t="s">
        <v>7</v>
      </c>
      <c r="EK5" s="4" t="s">
        <v>7</v>
      </c>
      <c r="EL5" s="4" t="s">
        <v>7</v>
      </c>
      <c r="EM5" s="4" t="s">
        <v>7</v>
      </c>
      <c r="EN5" s="4" t="s">
        <v>7</v>
      </c>
      <c r="EO5" s="4" t="s">
        <v>7</v>
      </c>
      <c r="EP5" s="4" t="s">
        <v>7</v>
      </c>
      <c r="EQ5" s="4" t="s">
        <v>7</v>
      </c>
      <c r="ER5" s="4" t="s">
        <v>7</v>
      </c>
      <c r="ES5" s="4" t="s">
        <v>7</v>
      </c>
      <c r="ET5" s="4" t="s">
        <v>7</v>
      </c>
      <c r="EU5" s="4" t="s">
        <v>7</v>
      </c>
      <c r="EV5" s="4" t="s">
        <v>7</v>
      </c>
      <c r="EW5" s="4" t="s">
        <v>7</v>
      </c>
      <c r="EX5" s="4" t="s">
        <v>7</v>
      </c>
      <c r="EY5" s="4" t="s">
        <v>35</v>
      </c>
      <c r="EZ5" s="4" t="s">
        <v>35</v>
      </c>
      <c r="FA5" s="4" t="s">
        <v>35</v>
      </c>
      <c r="FB5" s="4" t="s">
        <v>35</v>
      </c>
      <c r="FC5" s="4" t="s">
        <v>35</v>
      </c>
    </row>
    <row r="6" spans="1:159" x14ac:dyDescent="0.2">
      <c r="A6" s="2" t="s">
        <v>13</v>
      </c>
      <c r="B6" s="4">
        <f t="shared" si="2"/>
        <v>149</v>
      </c>
      <c r="C6" s="4">
        <f t="shared" si="3"/>
        <v>66</v>
      </c>
      <c r="D6" s="6">
        <f t="shared" si="4"/>
        <v>1</v>
      </c>
      <c r="E6" s="4">
        <f t="shared" si="0"/>
        <v>13</v>
      </c>
      <c r="F6" s="4">
        <f>COUNTIF(K6:VT6,"B")</f>
        <v>46</v>
      </c>
      <c r="G6" s="4">
        <f t="shared" si="5"/>
        <v>4</v>
      </c>
      <c r="H6" s="4">
        <f t="shared" si="6"/>
        <v>7</v>
      </c>
      <c r="I6" s="4">
        <f t="shared" si="7"/>
        <v>12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  <c r="DW6" s="4" t="s">
        <v>35</v>
      </c>
      <c r="DX6" s="4" t="s">
        <v>35</v>
      </c>
      <c r="DY6" s="4" t="s">
        <v>35</v>
      </c>
      <c r="DZ6" s="4" t="s">
        <v>34</v>
      </c>
      <c r="EA6" s="4" t="s">
        <v>34</v>
      </c>
      <c r="EB6" s="4" t="s">
        <v>34</v>
      </c>
      <c r="EC6" s="4" t="s">
        <v>7</v>
      </c>
      <c r="ED6" s="4" t="s">
        <v>7</v>
      </c>
      <c r="EE6" s="4" t="s">
        <v>40</v>
      </c>
      <c r="EF6" s="4" t="s">
        <v>32</v>
      </c>
      <c r="EG6" s="4" t="s">
        <v>32</v>
      </c>
      <c r="EH6" s="4" t="s">
        <v>7</v>
      </c>
      <c r="EI6" s="4" t="s">
        <v>40</v>
      </c>
      <c r="EJ6" s="4" t="s">
        <v>7</v>
      </c>
      <c r="EK6" s="4" t="s">
        <v>7</v>
      </c>
      <c r="EL6" s="4" t="s">
        <v>40</v>
      </c>
      <c r="EM6" s="4" t="s">
        <v>35</v>
      </c>
      <c r="EN6" s="4" t="s">
        <v>35</v>
      </c>
      <c r="EO6" s="4" t="s">
        <v>35</v>
      </c>
      <c r="EP6" s="4" t="s">
        <v>32</v>
      </c>
      <c r="EQ6" s="4" t="s">
        <v>32</v>
      </c>
      <c r="ER6" s="4" t="s">
        <v>32</v>
      </c>
      <c r="ES6" s="4" t="s">
        <v>34</v>
      </c>
      <c r="ET6" s="4" t="s">
        <v>34</v>
      </c>
      <c r="EU6" s="4" t="s">
        <v>34</v>
      </c>
      <c r="EV6" s="4" t="s">
        <v>7</v>
      </c>
      <c r="EW6" s="4" t="s">
        <v>7</v>
      </c>
      <c r="EX6" s="4" t="s">
        <v>7</v>
      </c>
      <c r="EY6" s="4" t="s">
        <v>7</v>
      </c>
      <c r="EZ6" s="4" t="s">
        <v>7</v>
      </c>
      <c r="FA6" s="4" t="s">
        <v>7</v>
      </c>
      <c r="FB6" s="4" t="s">
        <v>32</v>
      </c>
      <c r="FC6" s="4" t="s">
        <v>7</v>
      </c>
    </row>
    <row r="7" spans="1:159" x14ac:dyDescent="0.2">
      <c r="A7" s="2" t="s">
        <v>14</v>
      </c>
      <c r="B7" s="4">
        <f t="shared" si="2"/>
        <v>149</v>
      </c>
      <c r="C7" s="4">
        <f t="shared" si="3"/>
        <v>131</v>
      </c>
      <c r="D7" s="6">
        <f t="shared" si="4"/>
        <v>4</v>
      </c>
      <c r="E7" s="4">
        <f>COUNTIF(K7:VS7,"A")</f>
        <v>2</v>
      </c>
      <c r="F7" s="4">
        <f t="shared" si="1"/>
        <v>10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  <c r="DW7" s="4" t="s">
        <v>7</v>
      </c>
      <c r="DX7" s="4" t="s">
        <v>7</v>
      </c>
      <c r="DY7" s="4" t="s">
        <v>7</v>
      </c>
      <c r="DZ7" s="4" t="s">
        <v>7</v>
      </c>
      <c r="EA7" s="4" t="s">
        <v>7</v>
      </c>
      <c r="EB7" s="4" t="s">
        <v>7</v>
      </c>
      <c r="EC7" s="4" t="s">
        <v>7</v>
      </c>
      <c r="ED7" s="4" t="s">
        <v>35</v>
      </c>
      <c r="EE7" s="4" t="s">
        <v>35</v>
      </c>
      <c r="EF7" s="4" t="s">
        <v>7</v>
      </c>
      <c r="EG7" s="4" t="s">
        <v>7</v>
      </c>
      <c r="EH7" s="4" t="s">
        <v>7</v>
      </c>
      <c r="EI7" s="4" t="s">
        <v>7</v>
      </c>
      <c r="EJ7" s="4" t="s">
        <v>7</v>
      </c>
      <c r="EK7" s="4" t="s">
        <v>7</v>
      </c>
      <c r="EL7" s="4" t="s">
        <v>7</v>
      </c>
      <c r="EM7" s="4" t="s">
        <v>7</v>
      </c>
      <c r="EN7" s="4" t="s">
        <v>7</v>
      </c>
      <c r="EO7" s="4" t="s">
        <v>7</v>
      </c>
      <c r="EP7" s="4" t="s">
        <v>7</v>
      </c>
      <c r="EQ7" s="4" t="s">
        <v>7</v>
      </c>
      <c r="ER7" s="4" t="s">
        <v>7</v>
      </c>
      <c r="ES7" s="4" t="s">
        <v>7</v>
      </c>
      <c r="ET7" s="4" t="s">
        <v>7</v>
      </c>
      <c r="EU7" s="4" t="s">
        <v>7</v>
      </c>
      <c r="EV7" s="4" t="s">
        <v>7</v>
      </c>
      <c r="EW7" s="4" t="s">
        <v>7</v>
      </c>
      <c r="EX7" s="4" t="s">
        <v>7</v>
      </c>
      <c r="EY7" s="4" t="s">
        <v>42</v>
      </c>
      <c r="EZ7" s="4" t="s">
        <v>42</v>
      </c>
      <c r="FA7" s="4" t="s">
        <v>42</v>
      </c>
      <c r="FB7" s="4" t="s">
        <v>7</v>
      </c>
      <c r="FC7" s="4" t="s">
        <v>7</v>
      </c>
    </row>
    <row r="8" spans="1:159" x14ac:dyDescent="0.2">
      <c r="A8" s="2" t="s">
        <v>15</v>
      </c>
      <c r="B8" s="4">
        <f t="shared" si="2"/>
        <v>149</v>
      </c>
      <c r="C8" s="4">
        <f t="shared" si="3"/>
        <v>85</v>
      </c>
      <c r="D8" s="6">
        <f t="shared" si="4"/>
        <v>1</v>
      </c>
      <c r="E8" s="4">
        <f t="shared" si="0"/>
        <v>0</v>
      </c>
      <c r="F8" s="4">
        <f t="shared" si="1"/>
        <v>47</v>
      </c>
      <c r="G8" s="4">
        <f t="shared" si="5"/>
        <v>1</v>
      </c>
      <c r="H8" s="4">
        <f t="shared" si="6"/>
        <v>9</v>
      </c>
      <c r="I8" s="4">
        <f t="shared" si="7"/>
        <v>6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  <c r="DW8" s="4" t="s">
        <v>35</v>
      </c>
      <c r="DX8" s="4" t="s">
        <v>35</v>
      </c>
      <c r="DY8" s="4" t="s">
        <v>35</v>
      </c>
      <c r="DZ8" s="4" t="s">
        <v>35</v>
      </c>
      <c r="EA8" s="4" t="s">
        <v>35</v>
      </c>
      <c r="EB8" s="4" t="s">
        <v>35</v>
      </c>
      <c r="EC8" s="4" t="s">
        <v>34</v>
      </c>
      <c r="ED8" s="4" t="s">
        <v>34</v>
      </c>
      <c r="EE8" s="4" t="s">
        <v>34</v>
      </c>
      <c r="EF8" s="4" t="s">
        <v>7</v>
      </c>
      <c r="EG8" s="4" t="s">
        <v>7</v>
      </c>
      <c r="EH8" s="4" t="s">
        <v>7</v>
      </c>
      <c r="EI8" s="4" t="s">
        <v>35</v>
      </c>
      <c r="EJ8" s="4" t="s">
        <v>35</v>
      </c>
      <c r="EK8" s="4" t="s">
        <v>35</v>
      </c>
      <c r="EL8" s="4" t="s">
        <v>35</v>
      </c>
      <c r="EM8" s="4" t="s">
        <v>35</v>
      </c>
      <c r="EN8" s="4" t="s">
        <v>35</v>
      </c>
      <c r="EO8" s="4" t="s">
        <v>35</v>
      </c>
      <c r="EP8" s="4" t="s">
        <v>35</v>
      </c>
      <c r="EQ8" s="4" t="s">
        <v>35</v>
      </c>
      <c r="ER8" s="4" t="s">
        <v>35</v>
      </c>
      <c r="ES8" s="4" t="s">
        <v>35</v>
      </c>
      <c r="ET8" s="4" t="s">
        <v>35</v>
      </c>
      <c r="EU8" s="4" t="s">
        <v>35</v>
      </c>
      <c r="EV8" s="4" t="s">
        <v>35</v>
      </c>
      <c r="EW8" s="4" t="s">
        <v>35</v>
      </c>
      <c r="EX8" s="4" t="s">
        <v>35</v>
      </c>
      <c r="EY8" s="4" t="s">
        <v>35</v>
      </c>
      <c r="EZ8" s="4" t="s">
        <v>35</v>
      </c>
      <c r="FA8" s="4" t="s">
        <v>35</v>
      </c>
      <c r="FB8" s="4" t="s">
        <v>35</v>
      </c>
      <c r="FC8" s="4" t="s">
        <v>35</v>
      </c>
    </row>
    <row r="9" spans="1:159" x14ac:dyDescent="0.2">
      <c r="A9" s="2" t="s">
        <v>16</v>
      </c>
      <c r="B9" s="4">
        <f t="shared" si="2"/>
        <v>149</v>
      </c>
      <c r="C9" s="4">
        <f t="shared" si="3"/>
        <v>143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  <c r="DW9" s="4" t="s">
        <v>7</v>
      </c>
      <c r="DX9" s="4" t="s">
        <v>7</v>
      </c>
      <c r="DY9" s="4" t="s">
        <v>7</v>
      </c>
      <c r="DZ9" s="4" t="s">
        <v>7</v>
      </c>
      <c r="EA9" s="4" t="s">
        <v>7</v>
      </c>
      <c r="EB9" s="4" t="s">
        <v>7</v>
      </c>
      <c r="EC9" s="4" t="s">
        <v>7</v>
      </c>
      <c r="ED9" s="4" t="s">
        <v>7</v>
      </c>
      <c r="EE9" s="4" t="s">
        <v>7</v>
      </c>
      <c r="EF9" s="4" t="s">
        <v>7</v>
      </c>
      <c r="EG9" s="4" t="s">
        <v>7</v>
      </c>
      <c r="EH9" s="4" t="s">
        <v>7</v>
      </c>
      <c r="EI9" s="4" t="s">
        <v>7</v>
      </c>
      <c r="EJ9" s="4" t="s">
        <v>7</v>
      </c>
      <c r="EK9" s="4" t="s">
        <v>7</v>
      </c>
      <c r="EL9" s="4" t="s">
        <v>7</v>
      </c>
      <c r="EM9" s="4" t="s">
        <v>7</v>
      </c>
      <c r="EN9" s="4" t="s">
        <v>7</v>
      </c>
      <c r="EO9" s="4" t="s">
        <v>7</v>
      </c>
      <c r="EP9" s="4" t="s">
        <v>7</v>
      </c>
      <c r="EQ9" s="4" t="s">
        <v>7</v>
      </c>
      <c r="ER9" s="4" t="s">
        <v>7</v>
      </c>
      <c r="ES9" s="4" t="s">
        <v>7</v>
      </c>
      <c r="ET9" s="4" t="s">
        <v>7</v>
      </c>
      <c r="EU9" s="4" t="s">
        <v>7</v>
      </c>
      <c r="EV9" s="4" t="s">
        <v>7</v>
      </c>
      <c r="EW9" s="4" t="s">
        <v>7</v>
      </c>
      <c r="EX9" s="4" t="s">
        <v>7</v>
      </c>
      <c r="EY9" s="4" t="s">
        <v>7</v>
      </c>
      <c r="EZ9" s="4" t="s">
        <v>7</v>
      </c>
      <c r="FA9" s="4" t="s">
        <v>7</v>
      </c>
      <c r="FB9" s="4" t="s">
        <v>7</v>
      </c>
      <c r="FC9" s="4" t="s">
        <v>7</v>
      </c>
    </row>
    <row r="10" spans="1:159" x14ac:dyDescent="0.2">
      <c r="A10" s="2" t="s">
        <v>17</v>
      </c>
      <c r="B10" s="4">
        <f t="shared" si="2"/>
        <v>149</v>
      </c>
      <c r="C10" s="4">
        <f t="shared" si="3"/>
        <v>125</v>
      </c>
      <c r="D10" s="6">
        <f t="shared" si="4"/>
        <v>5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  <c r="DW10" s="4" t="s">
        <v>7</v>
      </c>
      <c r="DX10" s="4" t="s">
        <v>7</v>
      </c>
      <c r="DY10" s="4" t="s">
        <v>7</v>
      </c>
      <c r="DZ10" s="4" t="s">
        <v>7</v>
      </c>
      <c r="EA10" s="4" t="s">
        <v>7</v>
      </c>
      <c r="EB10" s="4" t="s">
        <v>7</v>
      </c>
      <c r="EC10" s="4" t="s">
        <v>7</v>
      </c>
      <c r="ED10" s="4" t="s">
        <v>7</v>
      </c>
      <c r="EE10" s="4" t="s">
        <v>7</v>
      </c>
      <c r="EF10" s="4" t="s">
        <v>7</v>
      </c>
      <c r="EG10" s="4" t="s">
        <v>7</v>
      </c>
      <c r="EH10" s="4" t="s">
        <v>7</v>
      </c>
      <c r="EI10" s="4" t="s">
        <v>7</v>
      </c>
      <c r="EJ10" s="4" t="s">
        <v>7</v>
      </c>
      <c r="EK10" s="4" t="s">
        <v>7</v>
      </c>
      <c r="EL10" s="4" t="s">
        <v>7</v>
      </c>
      <c r="EM10" s="4" t="s">
        <v>7</v>
      </c>
      <c r="EN10" s="4" t="s">
        <v>7</v>
      </c>
      <c r="EO10" s="4" t="s">
        <v>7</v>
      </c>
      <c r="EP10" s="4" t="s">
        <v>7</v>
      </c>
      <c r="EQ10" s="4" t="s">
        <v>7</v>
      </c>
      <c r="ER10" s="4" t="s">
        <v>7</v>
      </c>
      <c r="ES10" s="4" t="s">
        <v>7</v>
      </c>
      <c r="ET10" s="4" t="s">
        <v>7</v>
      </c>
      <c r="EU10" s="4" t="s">
        <v>7</v>
      </c>
      <c r="EV10" s="4" t="s">
        <v>7</v>
      </c>
      <c r="EW10" s="4" t="s">
        <v>42</v>
      </c>
      <c r="EX10" s="4" t="s">
        <v>42</v>
      </c>
      <c r="EY10" s="4" t="s">
        <v>42</v>
      </c>
      <c r="EZ10" s="4" t="s">
        <v>42</v>
      </c>
      <c r="FA10" s="4" t="s">
        <v>42</v>
      </c>
      <c r="FB10" s="4" t="s">
        <v>7</v>
      </c>
      <c r="FC10" s="4" t="s">
        <v>7</v>
      </c>
    </row>
    <row r="11" spans="1:159" x14ac:dyDescent="0.2">
      <c r="A11" s="2" t="s">
        <v>18</v>
      </c>
      <c r="B11" s="4">
        <f t="shared" si="2"/>
        <v>149</v>
      </c>
      <c r="C11" s="4">
        <f t="shared" si="3"/>
        <v>138</v>
      </c>
      <c r="D11" s="6">
        <f t="shared" si="4"/>
        <v>1</v>
      </c>
      <c r="E11" s="4">
        <f t="shared" si="0"/>
        <v>0</v>
      </c>
      <c r="F11" s="4">
        <f t="shared" si="1"/>
        <v>9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  <c r="DW11" s="4" t="s">
        <v>7</v>
      </c>
      <c r="DX11" s="4" t="s">
        <v>7</v>
      </c>
      <c r="DY11" s="4" t="s">
        <v>7</v>
      </c>
      <c r="DZ11" s="4" t="s">
        <v>7</v>
      </c>
      <c r="EA11" s="4" t="s">
        <v>7</v>
      </c>
      <c r="EB11" s="4" t="s">
        <v>7</v>
      </c>
      <c r="EC11" s="4" t="s">
        <v>7</v>
      </c>
      <c r="ED11" s="4" t="s">
        <v>7</v>
      </c>
      <c r="EE11" s="4" t="s">
        <v>7</v>
      </c>
      <c r="EF11" s="4" t="s">
        <v>7</v>
      </c>
      <c r="EG11" s="4" t="s">
        <v>7</v>
      </c>
      <c r="EH11" s="4" t="s">
        <v>7</v>
      </c>
      <c r="EI11" s="4" t="s">
        <v>7</v>
      </c>
      <c r="EJ11" s="4" t="s">
        <v>7</v>
      </c>
      <c r="EK11" s="4" t="s">
        <v>7</v>
      </c>
      <c r="EL11" s="4" t="s">
        <v>7</v>
      </c>
      <c r="EM11" s="4" t="s">
        <v>35</v>
      </c>
      <c r="EN11" s="4" t="s">
        <v>35</v>
      </c>
      <c r="EO11" s="4" t="s">
        <v>35</v>
      </c>
      <c r="EP11" s="4" t="s">
        <v>35</v>
      </c>
      <c r="EQ11" s="4" t="s">
        <v>7</v>
      </c>
      <c r="ER11" s="4" t="s">
        <v>7</v>
      </c>
      <c r="ES11" s="4" t="s">
        <v>7</v>
      </c>
      <c r="ET11" s="4" t="s">
        <v>7</v>
      </c>
      <c r="EU11" s="4" t="s">
        <v>7</v>
      </c>
      <c r="EV11" s="4" t="s">
        <v>7</v>
      </c>
      <c r="EW11" s="4" t="s">
        <v>7</v>
      </c>
      <c r="EX11" s="4" t="s">
        <v>7</v>
      </c>
      <c r="EY11" s="4" t="s">
        <v>7</v>
      </c>
      <c r="EZ11" s="4" t="s">
        <v>7</v>
      </c>
      <c r="FA11" s="4" t="s">
        <v>7</v>
      </c>
      <c r="FB11" s="4" t="s">
        <v>7</v>
      </c>
      <c r="FC11" s="4" t="s">
        <v>7</v>
      </c>
    </row>
    <row r="12" spans="1:159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59" x14ac:dyDescent="0.2">
      <c r="A13" s="2" t="s">
        <v>20</v>
      </c>
      <c r="B13" s="4">
        <f t="shared" si="2"/>
        <v>149</v>
      </c>
      <c r="C13" s="4">
        <f t="shared" si="3"/>
        <v>24</v>
      </c>
      <c r="D13" s="6">
        <f t="shared" si="4"/>
        <v>3</v>
      </c>
      <c r="E13" s="4">
        <f t="shared" si="0"/>
        <v>1</v>
      </c>
      <c r="F13" s="4">
        <f t="shared" si="1"/>
        <v>100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  <c r="DW13" s="4" t="s">
        <v>35</v>
      </c>
      <c r="DX13" s="4" t="s">
        <v>35</v>
      </c>
      <c r="DY13" s="4" t="s">
        <v>35</v>
      </c>
      <c r="DZ13" s="4" t="s">
        <v>35</v>
      </c>
      <c r="EA13" s="4" t="s">
        <v>35</v>
      </c>
      <c r="EB13" s="4" t="s">
        <v>35</v>
      </c>
      <c r="EC13" s="4" t="s">
        <v>35</v>
      </c>
      <c r="ED13" s="4" t="s">
        <v>35</v>
      </c>
      <c r="EE13" s="4" t="s">
        <v>35</v>
      </c>
      <c r="EF13" s="4" t="s">
        <v>35</v>
      </c>
      <c r="EG13" s="4" t="s">
        <v>35</v>
      </c>
      <c r="EH13" s="4" t="s">
        <v>35</v>
      </c>
      <c r="EI13" s="4" t="s">
        <v>35</v>
      </c>
      <c r="EJ13" s="4" t="s">
        <v>35</v>
      </c>
      <c r="EK13" s="4" t="s">
        <v>35</v>
      </c>
      <c r="EL13" s="4" t="s">
        <v>35</v>
      </c>
      <c r="EM13" s="4" t="s">
        <v>35</v>
      </c>
      <c r="EN13" s="4" t="s">
        <v>35</v>
      </c>
      <c r="EO13" s="4" t="s">
        <v>35</v>
      </c>
      <c r="EP13" s="4" t="s">
        <v>7</v>
      </c>
      <c r="EQ13" s="4" t="s">
        <v>7</v>
      </c>
      <c r="ER13" s="4" t="s">
        <v>42</v>
      </c>
      <c r="ES13" s="4" t="s">
        <v>7</v>
      </c>
      <c r="ET13" s="4" t="s">
        <v>35</v>
      </c>
      <c r="EU13" s="4" t="s">
        <v>35</v>
      </c>
      <c r="EV13" s="4" t="s">
        <v>7</v>
      </c>
      <c r="EW13" s="4" t="s">
        <v>35</v>
      </c>
      <c r="EX13" s="4" t="s">
        <v>35</v>
      </c>
      <c r="EY13" s="4" t="s">
        <v>35</v>
      </c>
      <c r="EZ13" s="4" t="s">
        <v>35</v>
      </c>
      <c r="FA13" s="4" t="s">
        <v>35</v>
      </c>
      <c r="FB13" s="4" t="s">
        <v>35</v>
      </c>
      <c r="FC13" s="4" t="s">
        <v>35</v>
      </c>
    </row>
    <row r="14" spans="1:159" x14ac:dyDescent="0.2">
      <c r="A14" s="2" t="s">
        <v>21</v>
      </c>
      <c r="B14" s="4">
        <f t="shared" si="2"/>
        <v>149</v>
      </c>
      <c r="C14" s="4">
        <f t="shared" si="3"/>
        <v>148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  <c r="DW14" s="4" t="s">
        <v>7</v>
      </c>
      <c r="DX14" s="4" t="s">
        <v>7</v>
      </c>
      <c r="DY14" s="4" t="s">
        <v>7</v>
      </c>
      <c r="DZ14" s="4" t="s">
        <v>7</v>
      </c>
      <c r="EA14" s="4" t="s">
        <v>7</v>
      </c>
      <c r="EB14" s="4" t="s">
        <v>7</v>
      </c>
      <c r="EC14" s="4" t="s">
        <v>7</v>
      </c>
      <c r="ED14" s="4" t="s">
        <v>7</v>
      </c>
      <c r="EE14" s="4" t="s">
        <v>7</v>
      </c>
      <c r="EF14" s="4" t="s">
        <v>7</v>
      </c>
      <c r="EG14" s="4" t="s">
        <v>7</v>
      </c>
      <c r="EH14" s="4" t="s">
        <v>7</v>
      </c>
      <c r="EI14" s="4" t="s">
        <v>7</v>
      </c>
      <c r="EJ14" s="4" t="s">
        <v>7</v>
      </c>
      <c r="EK14" s="4" t="s">
        <v>7</v>
      </c>
      <c r="EL14" s="4" t="s">
        <v>7</v>
      </c>
      <c r="EM14" s="4" t="s">
        <v>7</v>
      </c>
      <c r="EN14" s="4" t="s">
        <v>7</v>
      </c>
      <c r="EO14" s="4" t="s">
        <v>7</v>
      </c>
      <c r="EP14" s="4" t="s">
        <v>7</v>
      </c>
      <c r="EQ14" s="4" t="s">
        <v>7</v>
      </c>
      <c r="ER14" s="4" t="s">
        <v>7</v>
      </c>
      <c r="ES14" s="4" t="s">
        <v>7</v>
      </c>
      <c r="ET14" s="4" t="s">
        <v>7</v>
      </c>
      <c r="EU14" s="4" t="s">
        <v>7</v>
      </c>
      <c r="EV14" s="4" t="s">
        <v>7</v>
      </c>
      <c r="EW14" s="4" t="s">
        <v>7</v>
      </c>
      <c r="EX14" s="4" t="s">
        <v>7</v>
      </c>
      <c r="EY14" s="4" t="s">
        <v>7</v>
      </c>
      <c r="EZ14" s="4" t="s">
        <v>7</v>
      </c>
      <c r="FA14" s="4" t="s">
        <v>7</v>
      </c>
      <c r="FB14" s="4" t="s">
        <v>7</v>
      </c>
      <c r="FC14" s="4" t="s">
        <v>7</v>
      </c>
    </row>
    <row r="15" spans="1:159" x14ac:dyDescent="0.2">
      <c r="A15" s="2" t="s">
        <v>22</v>
      </c>
      <c r="B15" s="4">
        <f t="shared" si="2"/>
        <v>149</v>
      </c>
      <c r="C15" s="4">
        <f t="shared" si="3"/>
        <v>137</v>
      </c>
      <c r="D15" s="6">
        <f t="shared" si="4"/>
        <v>4</v>
      </c>
      <c r="E15" s="4">
        <f t="shared" si="0"/>
        <v>0</v>
      </c>
      <c r="F15" s="4">
        <f t="shared" si="1"/>
        <v>6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  <c r="DW15" s="4" t="s">
        <v>7</v>
      </c>
      <c r="DX15" s="4" t="s">
        <v>7</v>
      </c>
      <c r="DY15" s="4" t="s">
        <v>7</v>
      </c>
      <c r="DZ15" s="4" t="s">
        <v>35</v>
      </c>
      <c r="EA15" s="4" t="s">
        <v>35</v>
      </c>
      <c r="EB15" s="4" t="s">
        <v>35</v>
      </c>
      <c r="EC15" s="4" t="s">
        <v>7</v>
      </c>
      <c r="ED15" s="4" t="s">
        <v>7</v>
      </c>
      <c r="EE15" s="4" t="s">
        <v>7</v>
      </c>
      <c r="EF15" s="4" t="s">
        <v>7</v>
      </c>
      <c r="EG15" s="4" t="s">
        <v>7</v>
      </c>
      <c r="EH15" s="4" t="s">
        <v>7</v>
      </c>
      <c r="EI15" s="4" t="s">
        <v>7</v>
      </c>
      <c r="EJ15" s="4" t="s">
        <v>7</v>
      </c>
      <c r="EK15" s="4" t="s">
        <v>7</v>
      </c>
      <c r="EL15" s="4" t="s">
        <v>7</v>
      </c>
      <c r="EM15" s="4" t="s">
        <v>7</v>
      </c>
      <c r="EN15" s="4" t="s">
        <v>7</v>
      </c>
      <c r="EO15" s="4" t="s">
        <v>7</v>
      </c>
      <c r="EP15" s="4" t="s">
        <v>7</v>
      </c>
      <c r="EQ15" s="4" t="s">
        <v>7</v>
      </c>
      <c r="ER15" s="4" t="s">
        <v>7</v>
      </c>
      <c r="ES15" s="4" t="s">
        <v>7</v>
      </c>
      <c r="ET15" s="4" t="s">
        <v>7</v>
      </c>
      <c r="EU15" s="4" t="s">
        <v>7</v>
      </c>
      <c r="EV15" s="4" t="s">
        <v>42</v>
      </c>
      <c r="EW15" s="4" t="s">
        <v>7</v>
      </c>
      <c r="EX15" s="4" t="s">
        <v>7</v>
      </c>
      <c r="EY15" s="4" t="s">
        <v>42</v>
      </c>
      <c r="EZ15" s="4" t="s">
        <v>42</v>
      </c>
      <c r="FA15" s="4" t="s">
        <v>42</v>
      </c>
      <c r="FB15" s="4" t="s">
        <v>7</v>
      </c>
      <c r="FC15" s="4" t="s">
        <v>7</v>
      </c>
    </row>
    <row r="16" spans="1:159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</row>
    <row r="17" spans="1:159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</row>
    <row r="18" spans="1:159" x14ac:dyDescent="0.2">
      <c r="A18" s="2" t="s">
        <v>25</v>
      </c>
      <c r="B18" s="4">
        <f t="shared" si="2"/>
        <v>149</v>
      </c>
      <c r="C18" s="4">
        <f t="shared" si="3"/>
        <v>120</v>
      </c>
      <c r="D18" s="6">
        <f t="shared" si="4"/>
        <v>1</v>
      </c>
      <c r="E18" s="4">
        <f t="shared" si="0"/>
        <v>0</v>
      </c>
      <c r="F18" s="4">
        <f t="shared" si="1"/>
        <v>21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  <c r="DW18" s="4" t="s">
        <v>7</v>
      </c>
      <c r="DX18" s="4" t="s">
        <v>7</v>
      </c>
      <c r="DY18" s="4" t="s">
        <v>7</v>
      </c>
      <c r="DZ18" s="4" t="s">
        <v>7</v>
      </c>
      <c r="EA18" s="4" t="s">
        <v>7</v>
      </c>
      <c r="EB18" s="4" t="s">
        <v>7</v>
      </c>
      <c r="EC18" s="4" t="s">
        <v>7</v>
      </c>
      <c r="ED18" s="4" t="s">
        <v>7</v>
      </c>
      <c r="EE18" s="4" t="s">
        <v>7</v>
      </c>
      <c r="EF18" s="4" t="s">
        <v>7</v>
      </c>
      <c r="EG18" s="4" t="s">
        <v>7</v>
      </c>
      <c r="EH18" s="4" t="s">
        <v>7</v>
      </c>
      <c r="EI18" s="4" t="s">
        <v>7</v>
      </c>
      <c r="EJ18" s="4" t="s">
        <v>7</v>
      </c>
      <c r="EK18" s="4" t="s">
        <v>7</v>
      </c>
      <c r="EL18" s="4" t="s">
        <v>7</v>
      </c>
      <c r="EM18" s="4" t="s">
        <v>7</v>
      </c>
      <c r="EN18" s="4" t="s">
        <v>7</v>
      </c>
      <c r="EO18" s="4" t="s">
        <v>7</v>
      </c>
      <c r="EP18" s="4" t="s">
        <v>7</v>
      </c>
      <c r="EQ18" s="4" t="s">
        <v>7</v>
      </c>
      <c r="ER18" s="4" t="s">
        <v>7</v>
      </c>
      <c r="ES18" s="4" t="s">
        <v>7</v>
      </c>
      <c r="ET18" s="4" t="s">
        <v>7</v>
      </c>
      <c r="EU18" s="4" t="s">
        <v>7</v>
      </c>
      <c r="EV18" s="4" t="s">
        <v>7</v>
      </c>
      <c r="EW18" s="4" t="s">
        <v>7</v>
      </c>
      <c r="EX18" s="4" t="s">
        <v>7</v>
      </c>
      <c r="EY18" s="4" t="s">
        <v>35</v>
      </c>
      <c r="EZ18" s="4" t="s">
        <v>35</v>
      </c>
      <c r="FA18" s="4" t="s">
        <v>35</v>
      </c>
      <c r="FB18" s="4" t="s">
        <v>35</v>
      </c>
      <c r="FC18" s="4" t="s">
        <v>35</v>
      </c>
    </row>
    <row r="19" spans="1:159" x14ac:dyDescent="0.2">
      <c r="A19" s="2" t="s">
        <v>26</v>
      </c>
      <c r="B19" s="4">
        <f t="shared" si="2"/>
        <v>149</v>
      </c>
      <c r="C19" s="4">
        <f t="shared" si="3"/>
        <v>133</v>
      </c>
      <c r="D19" s="6">
        <f t="shared" si="4"/>
        <v>0</v>
      </c>
      <c r="E19" s="4">
        <f t="shared" si="0"/>
        <v>2</v>
      </c>
      <c r="F19" s="4">
        <f t="shared" si="1"/>
        <v>9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  <c r="DW19" s="4" t="s">
        <v>7</v>
      </c>
      <c r="DX19" s="4" t="s">
        <v>7</v>
      </c>
      <c r="DY19" s="4" t="s">
        <v>7</v>
      </c>
      <c r="DZ19" s="4" t="s">
        <v>35</v>
      </c>
      <c r="EA19" s="4" t="s">
        <v>35</v>
      </c>
      <c r="EB19" s="4" t="s">
        <v>35</v>
      </c>
      <c r="EC19" s="4" t="s">
        <v>7</v>
      </c>
      <c r="ED19" s="4" t="s">
        <v>7</v>
      </c>
      <c r="EE19" s="4" t="s">
        <v>7</v>
      </c>
      <c r="EF19" s="4" t="s">
        <v>7</v>
      </c>
      <c r="EG19" s="4" t="s">
        <v>7</v>
      </c>
      <c r="EH19" s="4" t="s">
        <v>7</v>
      </c>
      <c r="EI19" s="4" t="s">
        <v>7</v>
      </c>
      <c r="EJ19" s="4" t="s">
        <v>7</v>
      </c>
      <c r="EK19" s="4" t="s">
        <v>7</v>
      </c>
      <c r="EL19" s="4" t="s">
        <v>7</v>
      </c>
      <c r="EM19" s="4" t="s">
        <v>7</v>
      </c>
      <c r="EN19" s="4" t="s">
        <v>7</v>
      </c>
      <c r="EO19" s="4" t="s">
        <v>7</v>
      </c>
      <c r="EP19" s="4" t="s">
        <v>7</v>
      </c>
      <c r="EQ19" s="4" t="s">
        <v>7</v>
      </c>
      <c r="ER19" s="4" t="s">
        <v>7</v>
      </c>
      <c r="ES19" s="4" t="s">
        <v>7</v>
      </c>
      <c r="ET19" s="4" t="s">
        <v>7</v>
      </c>
      <c r="EU19" s="4" t="s">
        <v>7</v>
      </c>
      <c r="EV19" s="4" t="s">
        <v>7</v>
      </c>
      <c r="EW19" s="4" t="s">
        <v>7</v>
      </c>
      <c r="EX19" s="4" t="s">
        <v>7</v>
      </c>
      <c r="EY19" s="4" t="s">
        <v>7</v>
      </c>
      <c r="EZ19" s="4" t="s">
        <v>7</v>
      </c>
      <c r="FA19" s="4" t="s">
        <v>7</v>
      </c>
      <c r="FB19" s="4" t="s">
        <v>7</v>
      </c>
      <c r="FC19" s="4" t="s">
        <v>7</v>
      </c>
    </row>
    <row r="20" spans="1:159" x14ac:dyDescent="0.2">
      <c r="A20" s="2" t="s">
        <v>27</v>
      </c>
      <c r="B20" s="4">
        <f t="shared" si="2"/>
        <v>149</v>
      </c>
      <c r="C20" s="4">
        <f t="shared" si="3"/>
        <v>128</v>
      </c>
      <c r="D20" s="6">
        <f t="shared" si="4"/>
        <v>0</v>
      </c>
      <c r="E20" s="4">
        <f t="shared" si="0"/>
        <v>0</v>
      </c>
      <c r="F20" s="4">
        <f t="shared" si="1"/>
        <v>20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  <c r="DW20" s="4" t="s">
        <v>7</v>
      </c>
      <c r="DX20" s="4" t="s">
        <v>7</v>
      </c>
      <c r="DY20" s="4" t="s">
        <v>7</v>
      </c>
      <c r="DZ20" s="4" t="s">
        <v>7</v>
      </c>
      <c r="EA20" s="4" t="s">
        <v>7</v>
      </c>
      <c r="EB20" s="4" t="s">
        <v>7</v>
      </c>
      <c r="EC20" s="4" t="s">
        <v>7</v>
      </c>
      <c r="ED20" s="4" t="s">
        <v>7</v>
      </c>
      <c r="EE20" s="4" t="s">
        <v>7</v>
      </c>
      <c r="EF20" s="4" t="s">
        <v>7</v>
      </c>
      <c r="EG20" s="4" t="s">
        <v>7</v>
      </c>
      <c r="EH20" s="4" t="s">
        <v>7</v>
      </c>
      <c r="EI20" s="4" t="s">
        <v>7</v>
      </c>
      <c r="EJ20" s="4" t="s">
        <v>7</v>
      </c>
      <c r="EK20" s="4" t="s">
        <v>7</v>
      </c>
      <c r="EL20" s="4" t="s">
        <v>7</v>
      </c>
      <c r="EM20" s="4" t="s">
        <v>35</v>
      </c>
      <c r="EN20" s="4" t="s">
        <v>35</v>
      </c>
      <c r="EO20" s="4" t="s">
        <v>35</v>
      </c>
      <c r="EP20" s="4" t="s">
        <v>35</v>
      </c>
      <c r="EQ20" s="4" t="s">
        <v>35</v>
      </c>
      <c r="ER20" s="4" t="s">
        <v>35</v>
      </c>
      <c r="ES20" s="4" t="s">
        <v>35</v>
      </c>
      <c r="ET20" s="4" t="s">
        <v>35</v>
      </c>
      <c r="EU20" s="4" t="s">
        <v>35</v>
      </c>
      <c r="EV20" s="4" t="s">
        <v>35</v>
      </c>
      <c r="EW20" s="4" t="s">
        <v>35</v>
      </c>
      <c r="EX20" s="4" t="s">
        <v>35</v>
      </c>
      <c r="EY20" s="4" t="s">
        <v>35</v>
      </c>
      <c r="EZ20" s="4" t="s">
        <v>35</v>
      </c>
      <c r="FA20" s="4" t="s">
        <v>35</v>
      </c>
      <c r="FB20" s="4" t="s">
        <v>35</v>
      </c>
      <c r="FC20" s="4" t="s">
        <v>35</v>
      </c>
    </row>
    <row r="21" spans="1:159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59" x14ac:dyDescent="0.2">
      <c r="A22" s="4" t="s">
        <v>29</v>
      </c>
      <c r="B22" s="4">
        <f t="shared" ref="B22:B26" si="9">COUNTA(K22:VR22)</f>
        <v>149</v>
      </c>
      <c r="C22" s="4">
        <f t="shared" ref="C22:C26" si="10">COUNTIF(K22:VR22,"P")</f>
        <v>140</v>
      </c>
      <c r="D22" s="6">
        <f t="shared" si="4"/>
        <v>7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  <c r="DW22" s="4" t="s">
        <v>7</v>
      </c>
      <c r="DX22" s="4" t="s">
        <v>7</v>
      </c>
      <c r="DY22" s="4" t="s">
        <v>7</v>
      </c>
      <c r="DZ22" s="4" t="s">
        <v>7</v>
      </c>
      <c r="EA22" s="4" t="s">
        <v>7</v>
      </c>
      <c r="EB22" s="4" t="s">
        <v>7</v>
      </c>
      <c r="EC22" s="4" t="s">
        <v>7</v>
      </c>
      <c r="ED22" s="4" t="s">
        <v>7</v>
      </c>
      <c r="EE22" s="4" t="s">
        <v>7</v>
      </c>
      <c r="EF22" s="4" t="s">
        <v>7</v>
      </c>
      <c r="EG22" s="4" t="s">
        <v>7</v>
      </c>
      <c r="EH22" s="4" t="s">
        <v>7</v>
      </c>
      <c r="EI22" s="4" t="s">
        <v>7</v>
      </c>
      <c r="EJ22" s="4" t="s">
        <v>7</v>
      </c>
      <c r="EK22" s="4" t="s">
        <v>7</v>
      </c>
      <c r="EL22" s="4" t="s">
        <v>7</v>
      </c>
      <c r="EM22" s="4" t="s">
        <v>7</v>
      </c>
      <c r="EN22" s="4" t="s">
        <v>7</v>
      </c>
      <c r="EO22" s="4" t="s">
        <v>7</v>
      </c>
      <c r="EP22" s="4" t="s">
        <v>42</v>
      </c>
      <c r="EQ22" s="4" t="s">
        <v>42</v>
      </c>
      <c r="ER22" s="4" t="s">
        <v>42</v>
      </c>
      <c r="ES22" s="4" t="s">
        <v>7</v>
      </c>
      <c r="ET22" s="4" t="s">
        <v>7</v>
      </c>
      <c r="EU22" s="4" t="s">
        <v>7</v>
      </c>
      <c r="EV22" s="4" t="s">
        <v>7</v>
      </c>
      <c r="EW22" s="4" t="s">
        <v>7</v>
      </c>
      <c r="EX22" s="4" t="s">
        <v>7</v>
      </c>
      <c r="EY22" s="4" t="s">
        <v>7</v>
      </c>
      <c r="EZ22" s="4" t="s">
        <v>7</v>
      </c>
      <c r="FA22" s="4" t="s">
        <v>7</v>
      </c>
      <c r="FB22" s="4" t="s">
        <v>7</v>
      </c>
      <c r="FC22" s="4" t="s">
        <v>7</v>
      </c>
    </row>
    <row r="23" spans="1:159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59" x14ac:dyDescent="0.2">
      <c r="A24" s="2" t="s">
        <v>31</v>
      </c>
      <c r="B24" s="4">
        <f t="shared" si="9"/>
        <v>149</v>
      </c>
      <c r="C24" s="4">
        <f t="shared" si="10"/>
        <v>139</v>
      </c>
      <c r="D24" s="6">
        <f t="shared" si="4"/>
        <v>2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  <c r="DW24" s="4" t="s">
        <v>7</v>
      </c>
      <c r="DX24" s="4" t="s">
        <v>7</v>
      </c>
      <c r="DY24" s="4" t="s">
        <v>7</v>
      </c>
      <c r="DZ24" s="4" t="s">
        <v>7</v>
      </c>
      <c r="EA24" s="4" t="s">
        <v>7</v>
      </c>
      <c r="EB24" s="4" t="s">
        <v>7</v>
      </c>
      <c r="EC24" s="4" t="s">
        <v>7</v>
      </c>
      <c r="ED24" s="4" t="s">
        <v>7</v>
      </c>
      <c r="EE24" s="4" t="s">
        <v>7</v>
      </c>
      <c r="EF24" s="4" t="s">
        <v>7</v>
      </c>
      <c r="EG24" s="4" t="s">
        <v>7</v>
      </c>
      <c r="EH24" s="4" t="s">
        <v>7</v>
      </c>
      <c r="EI24" s="4" t="s">
        <v>7</v>
      </c>
      <c r="EJ24" s="4" t="s">
        <v>7</v>
      </c>
      <c r="EK24" s="4" t="s">
        <v>7</v>
      </c>
      <c r="EL24" s="4" t="s">
        <v>7</v>
      </c>
      <c r="EM24" s="4" t="s">
        <v>7</v>
      </c>
      <c r="EN24" s="4" t="s">
        <v>7</v>
      </c>
      <c r="EO24" s="4" t="s">
        <v>7</v>
      </c>
      <c r="EP24" s="4" t="s">
        <v>7</v>
      </c>
      <c r="EQ24" s="4" t="s">
        <v>7</v>
      </c>
      <c r="ER24" s="4" t="s">
        <v>7</v>
      </c>
      <c r="ES24" s="4" t="s">
        <v>7</v>
      </c>
      <c r="ET24" s="4" t="s">
        <v>7</v>
      </c>
      <c r="EU24" s="4" t="s">
        <v>7</v>
      </c>
      <c r="EV24" s="4" t="s">
        <v>7</v>
      </c>
      <c r="EW24" s="4" t="s">
        <v>7</v>
      </c>
      <c r="EX24" s="4" t="s">
        <v>7</v>
      </c>
      <c r="EY24" s="4" t="s">
        <v>42</v>
      </c>
      <c r="EZ24" s="4" t="s">
        <v>42</v>
      </c>
      <c r="FA24" s="4" t="s">
        <v>7</v>
      </c>
      <c r="FB24" s="4" t="s">
        <v>7</v>
      </c>
      <c r="FC24" s="4" t="s">
        <v>7</v>
      </c>
    </row>
    <row r="25" spans="1:159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</row>
    <row r="26" spans="1:159" x14ac:dyDescent="0.2">
      <c r="A26" s="2" t="s">
        <v>36</v>
      </c>
      <c r="B26" s="4">
        <f t="shared" si="9"/>
        <v>149</v>
      </c>
      <c r="C26" s="4">
        <f t="shared" si="10"/>
        <v>135</v>
      </c>
      <c r="D26" s="6">
        <f t="shared" si="4"/>
        <v>0</v>
      </c>
      <c r="E26" s="4">
        <f t="shared" si="0"/>
        <v>4</v>
      </c>
      <c r="F26" s="4">
        <f t="shared" si="1"/>
        <v>4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  <c r="DW26" s="4" t="s">
        <v>7</v>
      </c>
      <c r="DX26" s="4" t="s">
        <v>7</v>
      </c>
      <c r="DY26" s="4" t="s">
        <v>7</v>
      </c>
      <c r="DZ26" s="4" t="s">
        <v>7</v>
      </c>
      <c r="EA26" s="4" t="s">
        <v>7</v>
      </c>
      <c r="EB26" s="4" t="s">
        <v>7</v>
      </c>
      <c r="EC26" s="4" t="s">
        <v>7</v>
      </c>
      <c r="ED26" s="4" t="s">
        <v>7</v>
      </c>
      <c r="EE26" s="4" t="s">
        <v>7</v>
      </c>
      <c r="EF26" s="4" t="s">
        <v>35</v>
      </c>
      <c r="EG26" s="4" t="s">
        <v>7</v>
      </c>
      <c r="EH26" s="4" t="s">
        <v>7</v>
      </c>
      <c r="EI26" s="4" t="s">
        <v>7</v>
      </c>
      <c r="EJ26" s="4" t="s">
        <v>7</v>
      </c>
      <c r="EK26" s="4" t="s">
        <v>7</v>
      </c>
      <c r="EL26" s="4" t="s">
        <v>7</v>
      </c>
      <c r="EM26" s="4" t="s">
        <v>7</v>
      </c>
      <c r="EN26" s="4" t="s">
        <v>7</v>
      </c>
      <c r="EO26" s="4" t="s">
        <v>7</v>
      </c>
      <c r="EP26" s="4" t="s">
        <v>7</v>
      </c>
      <c r="EQ26" s="4" t="s">
        <v>7</v>
      </c>
      <c r="ER26" s="4" t="s">
        <v>7</v>
      </c>
      <c r="ES26" s="4" t="s">
        <v>7</v>
      </c>
      <c r="ET26" s="4" t="s">
        <v>7</v>
      </c>
      <c r="EU26" s="4" t="s">
        <v>7</v>
      </c>
      <c r="EV26" s="4" t="s">
        <v>7</v>
      </c>
      <c r="EW26" s="4" t="s">
        <v>7</v>
      </c>
      <c r="EX26" s="4" t="s">
        <v>7</v>
      </c>
      <c r="EY26" s="4" t="s">
        <v>7</v>
      </c>
      <c r="EZ26" s="4" t="s">
        <v>7</v>
      </c>
      <c r="FA26" s="4" t="s">
        <v>7</v>
      </c>
      <c r="FB26" s="4" t="s">
        <v>7</v>
      </c>
      <c r="FC26" s="4" t="s">
        <v>7</v>
      </c>
    </row>
    <row r="27" spans="1:159" x14ac:dyDescent="0.2">
      <c r="A27" s="2" t="s">
        <v>37</v>
      </c>
      <c r="B27" s="4">
        <f t="shared" ref="B27:B29" si="11">COUNTA(K27:VR27)</f>
        <v>139</v>
      </c>
      <c r="C27" s="4">
        <f t="shared" ref="C27:C29" si="12">COUNTIF(K27:VR27,"P")</f>
        <v>100</v>
      </c>
      <c r="D27" s="6">
        <f t="shared" ref="D27:D29" si="13">COUNTIF(K27:VR27,"REP")</f>
        <v>9</v>
      </c>
      <c r="E27" s="4">
        <f t="shared" ref="E27:E29" si="14">COUNTIF(K27:VS27,"A")</f>
        <v>0</v>
      </c>
      <c r="F27" s="4">
        <f t="shared" ref="F27:F29" si="15">COUNTIF(K27:VT27,"B")</f>
        <v>7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  <c r="DW27" s="4" t="s">
        <v>7</v>
      </c>
      <c r="DX27" s="4" t="s">
        <v>7</v>
      </c>
      <c r="DY27" s="4" t="s">
        <v>7</v>
      </c>
      <c r="DZ27" s="4" t="s">
        <v>7</v>
      </c>
      <c r="EA27" s="4" t="s">
        <v>7</v>
      </c>
      <c r="EB27" s="4" t="s">
        <v>7</v>
      </c>
      <c r="EC27" s="4" t="s">
        <v>7</v>
      </c>
      <c r="ED27" s="4" t="s">
        <v>7</v>
      </c>
      <c r="EE27" s="4" t="s">
        <v>7</v>
      </c>
      <c r="EF27" s="4" t="s">
        <v>7</v>
      </c>
      <c r="EG27" s="4" t="s">
        <v>7</v>
      </c>
      <c r="EH27" s="4" t="s">
        <v>7</v>
      </c>
      <c r="EI27" s="4" t="s">
        <v>7</v>
      </c>
      <c r="EJ27" s="4" t="s">
        <v>35</v>
      </c>
      <c r="EK27" s="4" t="s">
        <v>35</v>
      </c>
      <c r="EL27" s="4" t="s">
        <v>35</v>
      </c>
      <c r="EM27" s="4" t="s">
        <v>7</v>
      </c>
      <c r="EN27" s="4" t="s">
        <v>7</v>
      </c>
      <c r="EO27" s="4" t="s">
        <v>7</v>
      </c>
      <c r="EP27" s="4" t="s">
        <v>7</v>
      </c>
      <c r="EQ27" s="4" t="s">
        <v>7</v>
      </c>
      <c r="ER27" s="4" t="s">
        <v>42</v>
      </c>
      <c r="ES27" s="4" t="s">
        <v>42</v>
      </c>
      <c r="ET27" s="4" t="s">
        <v>35</v>
      </c>
      <c r="EU27" s="4" t="s">
        <v>35</v>
      </c>
      <c r="EV27" s="4" t="s">
        <v>35</v>
      </c>
      <c r="EW27" s="4" t="s">
        <v>35</v>
      </c>
      <c r="EX27" s="4" t="s">
        <v>7</v>
      </c>
      <c r="EY27" s="4" t="s">
        <v>7</v>
      </c>
      <c r="EZ27" s="4" t="s">
        <v>7</v>
      </c>
      <c r="FA27" s="4" t="s">
        <v>7</v>
      </c>
      <c r="FB27" s="4" t="s">
        <v>7</v>
      </c>
      <c r="FC27" s="4" t="s">
        <v>7</v>
      </c>
    </row>
    <row r="28" spans="1:159" x14ac:dyDescent="0.2">
      <c r="A28" s="2" t="s">
        <v>44</v>
      </c>
      <c r="B28" s="4">
        <f t="shared" si="11"/>
        <v>97</v>
      </c>
      <c r="C28" s="4">
        <f t="shared" si="12"/>
        <v>94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  <c r="DW28" s="4" t="s">
        <v>7</v>
      </c>
      <c r="DX28" s="4" t="s">
        <v>7</v>
      </c>
      <c r="DY28" s="4" t="s">
        <v>7</v>
      </c>
      <c r="DZ28" s="4" t="s">
        <v>7</v>
      </c>
      <c r="EA28" s="4" t="s">
        <v>7</v>
      </c>
      <c r="EB28" s="4" t="s">
        <v>7</v>
      </c>
      <c r="EC28" s="4" t="s">
        <v>7</v>
      </c>
      <c r="ED28" s="4" t="s">
        <v>7</v>
      </c>
      <c r="EE28" s="4" t="s">
        <v>7</v>
      </c>
      <c r="EF28" s="4" t="s">
        <v>7</v>
      </c>
      <c r="EG28" s="4" t="s">
        <v>7</v>
      </c>
      <c r="EH28" s="4" t="s">
        <v>7</v>
      </c>
      <c r="EI28" s="4" t="s">
        <v>7</v>
      </c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</row>
    <row r="29" spans="1:159" x14ac:dyDescent="0.2">
      <c r="A29" s="2" t="s">
        <v>43</v>
      </c>
      <c r="B29" s="4">
        <f t="shared" si="11"/>
        <v>117</v>
      </c>
      <c r="C29" s="4">
        <f t="shared" si="12"/>
        <v>109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  <c r="DW29" s="4" t="s">
        <v>7</v>
      </c>
      <c r="DX29" s="4" t="s">
        <v>7</v>
      </c>
      <c r="DY29" s="4" t="s">
        <v>7</v>
      </c>
      <c r="DZ29" s="4" t="s">
        <v>7</v>
      </c>
      <c r="EA29" s="4" t="s">
        <v>7</v>
      </c>
      <c r="EB29" s="4" t="s">
        <v>7</v>
      </c>
      <c r="EC29" s="4" t="s">
        <v>7</v>
      </c>
      <c r="ED29" s="4" t="s">
        <v>7</v>
      </c>
      <c r="EE29" s="4" t="s">
        <v>7</v>
      </c>
      <c r="EF29" s="4" t="s">
        <v>7</v>
      </c>
      <c r="EG29" s="4" t="s">
        <v>7</v>
      </c>
      <c r="EH29" s="4" t="s">
        <v>7</v>
      </c>
      <c r="EI29" s="4" t="s">
        <v>7</v>
      </c>
      <c r="EJ29" s="4" t="s">
        <v>7</v>
      </c>
      <c r="EK29" s="4" t="s">
        <v>7</v>
      </c>
      <c r="EL29" s="4" t="s">
        <v>7</v>
      </c>
      <c r="EM29" s="4" t="s">
        <v>7</v>
      </c>
      <c r="EN29" s="4" t="s">
        <v>7</v>
      </c>
      <c r="EO29" s="4" t="s">
        <v>7</v>
      </c>
      <c r="EP29" s="4" t="s">
        <v>7</v>
      </c>
      <c r="EQ29" s="4" t="s">
        <v>7</v>
      </c>
      <c r="ER29" s="4" t="s">
        <v>7</v>
      </c>
      <c r="ES29" s="4" t="s">
        <v>7</v>
      </c>
      <c r="ET29" s="4" t="s">
        <v>7</v>
      </c>
      <c r="EU29" s="4" t="s">
        <v>7</v>
      </c>
      <c r="EV29" s="4" t="s">
        <v>7</v>
      </c>
      <c r="EW29" s="4" t="s">
        <v>7</v>
      </c>
      <c r="EX29" s="4" t="s">
        <v>7</v>
      </c>
      <c r="EY29" s="4" t="s">
        <v>7</v>
      </c>
      <c r="EZ29" s="4" t="s">
        <v>7</v>
      </c>
      <c r="FA29" s="4" t="s">
        <v>7</v>
      </c>
      <c r="FB29" s="4" t="s">
        <v>7</v>
      </c>
      <c r="FC29" s="4" t="s">
        <v>7</v>
      </c>
    </row>
    <row r="30" spans="1:159" x14ac:dyDescent="0.2">
      <c r="A30" s="2" t="s">
        <v>46</v>
      </c>
      <c r="B30" s="4">
        <f t="shared" ref="B30" si="20">COUNTA(K30:VR30)</f>
        <v>62</v>
      </c>
      <c r="C30" s="4">
        <f t="shared" ref="C30" si="21">COUNTIF(K30:VR30,"P")</f>
        <v>45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9</v>
      </c>
      <c r="G30" s="4">
        <f t="shared" ref="G30" si="25">COUNTIF(K30:VU30,"M")</f>
        <v>2</v>
      </c>
      <c r="H30" s="4">
        <f t="shared" ref="H30" si="26">COUNTIF(K30:VV30,"R")</f>
        <v>0</v>
      </c>
      <c r="I30" s="4">
        <f t="shared" ref="I30" si="27">COUNTIF(K30:VW30,"RH")</f>
        <v>6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  <c r="DW30" s="4" t="s">
        <v>7</v>
      </c>
      <c r="DX30" s="4" t="s">
        <v>7</v>
      </c>
      <c r="DY30" s="4" t="s">
        <v>7</v>
      </c>
      <c r="DZ30" s="4" t="s">
        <v>7</v>
      </c>
      <c r="EA30" s="4" t="s">
        <v>7</v>
      </c>
      <c r="EB30" s="4" t="s">
        <v>7</v>
      </c>
      <c r="EC30" s="4" t="s">
        <v>7</v>
      </c>
      <c r="ED30" s="4" t="s">
        <v>7</v>
      </c>
      <c r="EE30" s="4" t="s">
        <v>7</v>
      </c>
      <c r="EF30" s="4" t="s">
        <v>7</v>
      </c>
      <c r="EG30" s="4" t="s">
        <v>7</v>
      </c>
      <c r="EH30" s="4" t="s">
        <v>7</v>
      </c>
      <c r="EI30" s="4" t="s">
        <v>7</v>
      </c>
      <c r="EJ30" s="4" t="s">
        <v>38</v>
      </c>
      <c r="EK30" s="4" t="s">
        <v>38</v>
      </c>
      <c r="EL30" s="4" t="s">
        <v>7</v>
      </c>
      <c r="EM30" s="4" t="s">
        <v>7</v>
      </c>
      <c r="EN30" s="4" t="s">
        <v>35</v>
      </c>
      <c r="EO30" s="4" t="s">
        <v>35</v>
      </c>
      <c r="EP30" s="4" t="s">
        <v>35</v>
      </c>
      <c r="EQ30" s="4" t="s">
        <v>35</v>
      </c>
      <c r="ER30" s="4" t="s">
        <v>35</v>
      </c>
      <c r="ES30" s="4" t="s">
        <v>34</v>
      </c>
      <c r="ET30" s="4" t="s">
        <v>34</v>
      </c>
      <c r="EU30" s="4" t="s">
        <v>34</v>
      </c>
      <c r="EV30" s="4" t="s">
        <v>34</v>
      </c>
      <c r="EW30" s="4" t="s">
        <v>34</v>
      </c>
      <c r="EX30" s="4" t="s">
        <v>34</v>
      </c>
      <c r="EY30" s="4" t="s">
        <v>7</v>
      </c>
      <c r="EZ30" s="4" t="s">
        <v>35</v>
      </c>
      <c r="FA30" s="4" t="s">
        <v>35</v>
      </c>
      <c r="FB30" s="4" t="s">
        <v>35</v>
      </c>
      <c r="FC30" s="4" t="s">
        <v>35</v>
      </c>
    </row>
    <row r="31" spans="1:159" x14ac:dyDescent="0.2">
      <c r="A31" s="2" t="s">
        <v>48</v>
      </c>
      <c r="B31" s="4">
        <f t="shared" ref="B31" si="29">COUNTA(K31:VR31)</f>
        <v>50</v>
      </c>
      <c r="C31" s="4">
        <f t="shared" ref="C31" si="30">COUNTIF(K31:VR31,"P")</f>
        <v>39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9</v>
      </c>
      <c r="G31" s="4">
        <f t="shared" ref="G31" si="34">COUNTIF(K31:VU31,"M")</f>
        <v>1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  <c r="DW31" s="4" t="s">
        <v>7</v>
      </c>
      <c r="DX31" s="4" t="s">
        <v>7</v>
      </c>
      <c r="DY31" s="4" t="s">
        <v>7</v>
      </c>
      <c r="DZ31" s="4" t="s">
        <v>7</v>
      </c>
      <c r="EA31" s="4" t="s">
        <v>7</v>
      </c>
      <c r="EB31" s="4" t="s">
        <v>7</v>
      </c>
      <c r="EC31" s="4" t="s">
        <v>38</v>
      </c>
      <c r="ED31" s="4" t="s">
        <v>7</v>
      </c>
      <c r="EE31" s="4" t="s">
        <v>7</v>
      </c>
      <c r="EF31" s="4" t="s">
        <v>7</v>
      </c>
      <c r="EG31" s="4" t="s">
        <v>35</v>
      </c>
      <c r="EH31" s="4" t="s">
        <v>35</v>
      </c>
      <c r="EI31" s="4" t="s">
        <v>35</v>
      </c>
      <c r="EJ31" s="4" t="s">
        <v>7</v>
      </c>
      <c r="EK31" s="4" t="s">
        <v>7</v>
      </c>
      <c r="EL31" s="4" t="s">
        <v>7</v>
      </c>
      <c r="EM31" s="4" t="s">
        <v>7</v>
      </c>
      <c r="EN31" s="4" t="s">
        <v>7</v>
      </c>
      <c r="EO31" s="4" t="s">
        <v>7</v>
      </c>
      <c r="EP31" s="4" t="s">
        <v>7</v>
      </c>
      <c r="EQ31" s="4" t="s">
        <v>7</v>
      </c>
      <c r="ER31" s="4" t="s">
        <v>7</v>
      </c>
      <c r="ES31" s="4" t="s">
        <v>7</v>
      </c>
      <c r="ET31" s="4" t="s">
        <v>7</v>
      </c>
      <c r="EU31" s="4" t="s">
        <v>7</v>
      </c>
      <c r="EV31" s="4" t="s">
        <v>35</v>
      </c>
      <c r="EW31" s="4" t="s">
        <v>35</v>
      </c>
      <c r="EX31" s="4" t="s">
        <v>35</v>
      </c>
      <c r="EY31" s="4" t="s">
        <v>35</v>
      </c>
      <c r="EZ31" s="4" t="s">
        <v>35</v>
      </c>
      <c r="FA31" s="4" t="s">
        <v>35</v>
      </c>
      <c r="FB31" s="4" t="s">
        <v>7</v>
      </c>
      <c r="FC31" s="4" t="s">
        <v>7</v>
      </c>
    </row>
    <row r="32" spans="1:159" x14ac:dyDescent="0.2">
      <c r="A32" s="2" t="s">
        <v>47</v>
      </c>
      <c r="B32" s="4">
        <f t="shared" ref="B32" si="38">COUNTA(K32:VR32)</f>
        <v>46</v>
      </c>
      <c r="C32" s="4">
        <f t="shared" ref="C32" si="39">COUNTIF(K32:VR32,"P")</f>
        <v>41</v>
      </c>
      <c r="D32" s="6">
        <f t="shared" ref="D32" si="40">COUNTIF(K32:VR32,"REP")</f>
        <v>0</v>
      </c>
      <c r="E32" s="4">
        <f t="shared" ref="E32" si="41">COUNTIF(K32:VS32,"A")</f>
        <v>3</v>
      </c>
      <c r="F32" s="4">
        <f t="shared" ref="F32" si="42">COUNTIF(K32:VT32,"B")</f>
        <v>2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  <c r="DW32" s="4" t="s">
        <v>7</v>
      </c>
      <c r="DX32" s="4" t="s">
        <v>7</v>
      </c>
      <c r="DY32" s="4" t="s">
        <v>7</v>
      </c>
      <c r="DZ32" s="4" t="s">
        <v>7</v>
      </c>
      <c r="EA32" s="4" t="s">
        <v>7</v>
      </c>
      <c r="EB32" s="4" t="s">
        <v>7</v>
      </c>
      <c r="EC32" s="4" t="s">
        <v>32</v>
      </c>
      <c r="ED32" s="4" t="s">
        <v>7</v>
      </c>
      <c r="EE32" s="4" t="s">
        <v>7</v>
      </c>
      <c r="EF32" s="4" t="s">
        <v>7</v>
      </c>
      <c r="EG32" s="4" t="s">
        <v>7</v>
      </c>
      <c r="EH32" s="4" t="s">
        <v>7</v>
      </c>
      <c r="EI32" s="4" t="s">
        <v>7</v>
      </c>
      <c r="EJ32" s="4" t="s">
        <v>7</v>
      </c>
      <c r="EK32" s="4" t="s">
        <v>7</v>
      </c>
      <c r="EL32" s="4" t="s">
        <v>7</v>
      </c>
      <c r="EM32" s="4" t="s">
        <v>7</v>
      </c>
      <c r="EN32" s="4" t="s">
        <v>7</v>
      </c>
      <c r="EO32" s="4" t="s">
        <v>7</v>
      </c>
      <c r="EP32" s="4" t="s">
        <v>7</v>
      </c>
      <c r="EQ32" s="4" t="s">
        <v>7</v>
      </c>
      <c r="ER32" s="4" t="s">
        <v>7</v>
      </c>
      <c r="ES32" s="4" t="s">
        <v>7</v>
      </c>
      <c r="ET32" s="4" t="s">
        <v>35</v>
      </c>
      <c r="EU32" s="4" t="s">
        <v>35</v>
      </c>
      <c r="EV32" s="4" t="s">
        <v>32</v>
      </c>
      <c r="EW32" s="4" t="s">
        <v>32</v>
      </c>
      <c r="EX32" s="4" t="s">
        <v>7</v>
      </c>
      <c r="EY32" s="4" t="s">
        <v>7</v>
      </c>
      <c r="EZ32" s="4" t="s">
        <v>7</v>
      </c>
      <c r="FA32" s="4" t="s">
        <v>7</v>
      </c>
      <c r="FB32" s="4" t="s">
        <v>7</v>
      </c>
      <c r="FC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2026-05-05T11:11:32Z</dcterms:modified>
</cp:coreProperties>
</file>