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DCED616-E87A-2446-B30D-701E275092A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<sst xmlns="http://schemas.openxmlformats.org/spreadsheetml/2006/main" count="3982" uniqueCount="49">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</sst>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FH32"/>
  <sheetViews>
    <sheetView tabSelected="1" workbookViewId="0">
      <pane xSplit="1" topLeftCell="FG1" activePane="topRight" state="frozen"/>
      <selection pane="topRight" activeCell="FH27" sqref="FH27"/>
    </sheetView>
  </sheetViews>
  <sheetFormatPr baseColWidth="10" defaultRowHeight="16" x14ac:dyDescent="0.2"/>
  <cols>
    <col min="1" max="1" width="17.1640625" customWidth="1"/>
  </cols>
  <sheetData>
    <row r="1" spans="1:16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  <c r="EQ1" s="3">
        <v>46120</v>
      </c>
      <c r="ER1" s="3">
        <v>46122</v>
      </c>
      <c r="ES1" s="3">
        <v>46126</v>
      </c>
      <c r="ET1" s="3">
        <v>46127</v>
      </c>
      <c r="EU1" s="3">
        <v>46129</v>
      </c>
      <c r="EV1" s="3">
        <v>46133</v>
      </c>
      <c r="EW1" s="3">
        <v>46134</v>
      </c>
      <c r="EX1" s="3">
        <v>46136</v>
      </c>
      <c r="EY1" s="3">
        <v>46140</v>
      </c>
      <c r="EZ1" s="3">
        <v>46141</v>
      </c>
      <c r="FA1" s="3">
        <v>46142</v>
      </c>
      <c r="FB1" s="5">
        <v>46146</v>
      </c>
      <c r="FC1" s="5">
        <v>46147</v>
      </c>
      <c r="FD1" s="5">
        <v>46148</v>
      </c>
      <c r="FE1" s="5">
        <v>46150</v>
      </c>
      <c r="FF1" s="5">
        <v>46154</v>
      </c>
      <c r="FG1" s="5">
        <v>46155</v>
      </c>
      <c r="FH1" s="5">
        <v>46157</v>
      </c>
    </row>
    <row r="2" spans="1:164" x14ac:dyDescent="0.2">
      <c r="A2" s="2" t="s">
        <v>9</v>
      </c>
      <c r="B2" s="4">
        <f>COUNTA(K2:VR2)</f>
        <v>154</v>
      </c>
      <c r="C2" s="4">
        <f>COUNTIF(K2:VR2,"P")</f>
        <v>150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  <c r="EQ2" s="4" t="s">
        <v>7</v>
      </c>
      <c r="ER2" s="4" t="s">
        <v>7</v>
      </c>
      <c r="ES2" s="4" t="s">
        <v>7</v>
      </c>
      <c r="ET2" s="4" t="s">
        <v>7</v>
      </c>
      <c r="EU2" s="4" t="s">
        <v>7</v>
      </c>
      <c r="EV2" s="4" t="s">
        <v>7</v>
      </c>
      <c r="EW2" s="4" t="s">
        <v>7</v>
      </c>
      <c r="EX2" s="4" t="s">
        <v>7</v>
      </c>
      <c r="EY2" s="4" t="s">
        <v>7</v>
      </c>
      <c r="EZ2" s="4" t="s">
        <v>7</v>
      </c>
      <c r="FA2" s="4" t="s">
        <v>7</v>
      </c>
      <c r="FB2" s="4" t="s">
        <v>7</v>
      </c>
      <c r="FC2" s="4" t="s">
        <v>7</v>
      </c>
      <c r="FD2" s="4" t="s">
        <v>7</v>
      </c>
      <c r="FE2" s="4" t="s">
        <v>7</v>
      </c>
      <c r="FF2" s="4" t="s">
        <v>7</v>
      </c>
      <c r="FG2" s="4" t="s">
        <v>7</v>
      </c>
      <c r="FH2" s="4" t="s">
        <v>7</v>
      </c>
    </row>
    <row r="3" spans="1:164" x14ac:dyDescent="0.2">
      <c r="A3" s="2" t="s">
        <v>10</v>
      </c>
      <c r="B3" s="4">
        <f t="shared" ref="B3:B21" si="2">COUNTA(K3:VR3)</f>
        <v>154</v>
      </c>
      <c r="C3" s="4">
        <f t="shared" ref="C3:C21" si="3">COUNTIF(K3:VR3,"P")</f>
        <v>114</v>
      </c>
      <c r="D3" s="6">
        <f t="shared" ref="D3:D26" si="4">COUNTIF(K3:VR3,"REP")</f>
        <v>0</v>
      </c>
      <c r="E3" s="4">
        <f t="shared" si="0"/>
        <v>2</v>
      </c>
      <c r="F3" s="4">
        <f t="shared" si="1"/>
        <v>10</v>
      </c>
      <c r="G3" s="4">
        <f t="shared" ref="G3:G26" si="5">COUNTIF(K3:VU3,"M")</f>
        <v>6</v>
      </c>
      <c r="H3" s="4">
        <f t="shared" ref="H3:H26" si="6">COUNTIF(K3:VV3,"R")</f>
        <v>22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  <c r="EQ3" s="4" t="s">
        <v>32</v>
      </c>
      <c r="ER3" s="4" t="s">
        <v>40</v>
      </c>
      <c r="ES3" s="4" t="s">
        <v>7</v>
      </c>
      <c r="ET3" s="4" t="s">
        <v>7</v>
      </c>
      <c r="EU3" s="4" t="s">
        <v>7</v>
      </c>
      <c r="EV3" s="4" t="s">
        <v>7</v>
      </c>
      <c r="EW3" s="4" t="s">
        <v>7</v>
      </c>
      <c r="EX3" s="4" t="s">
        <v>40</v>
      </c>
      <c r="EY3" s="4" t="s">
        <v>35</v>
      </c>
      <c r="EZ3" s="4" t="s">
        <v>35</v>
      </c>
      <c r="FA3" s="4" t="s">
        <v>35</v>
      </c>
      <c r="FB3" s="4" t="s">
        <v>7</v>
      </c>
      <c r="FC3" s="4" t="s">
        <v>35</v>
      </c>
      <c r="FD3" s="4" t="s">
        <v>35</v>
      </c>
      <c r="FE3" s="4" t="s">
        <v>35</v>
      </c>
      <c r="FF3" s="4" t="s">
        <v>35</v>
      </c>
      <c r="FG3" s="4" t="s">
        <v>35</v>
      </c>
      <c r="FH3" s="4" t="s">
        <v>40</v>
      </c>
    </row>
    <row r="4" spans="1:164" x14ac:dyDescent="0.2">
      <c r="A4" s="2" t="s">
        <v>11</v>
      </c>
      <c r="B4" s="4">
        <f t="shared" si="2"/>
        <v>154</v>
      </c>
      <c r="C4" s="4">
        <f t="shared" si="3"/>
        <v>151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  <c r="EQ4" s="4" t="s">
        <v>7</v>
      </c>
      <c r="ER4" s="4" t="s">
        <v>7</v>
      </c>
      <c r="ES4" s="4" t="s">
        <v>7</v>
      </c>
      <c r="ET4" s="4" t="s">
        <v>7</v>
      </c>
      <c r="EU4" s="4" t="s">
        <v>7</v>
      </c>
      <c r="EV4" s="4" t="s">
        <v>7</v>
      </c>
      <c r="EW4" s="4" t="s">
        <v>7</v>
      </c>
      <c r="EX4" s="4" t="s">
        <v>7</v>
      </c>
      <c r="EY4" s="4" t="s">
        <v>7</v>
      </c>
      <c r="EZ4" s="4" t="s">
        <v>7</v>
      </c>
      <c r="FA4" s="4" t="s">
        <v>7</v>
      </c>
      <c r="FB4" s="4" t="s">
        <v>7</v>
      </c>
      <c r="FC4" s="4" t="s">
        <v>7</v>
      </c>
      <c r="FD4" s="4" t="s">
        <v>7</v>
      </c>
      <c r="FE4" s="4" t="s">
        <v>7</v>
      </c>
      <c r="FF4" s="4" t="s">
        <v>7</v>
      </c>
      <c r="FG4" s="4" t="s">
        <v>7</v>
      </c>
      <c r="FH4" s="4" t="s">
        <v>7</v>
      </c>
    </row>
    <row r="5" spans="1:164" x14ac:dyDescent="0.2">
      <c r="A5" s="2" t="s">
        <v>12</v>
      </c>
      <c r="B5" s="4">
        <f t="shared" si="2"/>
        <v>154</v>
      </c>
      <c r="C5" s="4">
        <f t="shared" si="3"/>
        <v>111</v>
      </c>
      <c r="D5" s="6">
        <f t="shared" si="4"/>
        <v>1</v>
      </c>
      <c r="E5" s="4">
        <f t="shared" si="0"/>
        <v>0</v>
      </c>
      <c r="F5" s="4">
        <f t="shared" si="1"/>
        <v>29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  <c r="EQ5" s="4" t="s">
        <v>7</v>
      </c>
      <c r="ER5" s="4" t="s">
        <v>7</v>
      </c>
      <c r="ES5" s="4" t="s">
        <v>7</v>
      </c>
      <c r="ET5" s="4" t="s">
        <v>7</v>
      </c>
      <c r="EU5" s="4" t="s">
        <v>7</v>
      </c>
      <c r="EV5" s="4" t="s">
        <v>7</v>
      </c>
      <c r="EW5" s="4" t="s">
        <v>7</v>
      </c>
      <c r="EX5" s="4" t="s">
        <v>7</v>
      </c>
      <c r="EY5" s="4" t="s">
        <v>35</v>
      </c>
      <c r="EZ5" s="4" t="s">
        <v>35</v>
      </c>
      <c r="FA5" s="4" t="s">
        <v>35</v>
      </c>
      <c r="FB5" s="4" t="s">
        <v>35</v>
      </c>
      <c r="FC5" s="4" t="s">
        <v>35</v>
      </c>
      <c r="FD5" s="4" t="s">
        <v>35</v>
      </c>
      <c r="FE5" s="4" t="s">
        <v>35</v>
      </c>
      <c r="FF5" s="4" t="s">
        <v>35</v>
      </c>
      <c r="FG5" s="4" t="s">
        <v>35</v>
      </c>
      <c r="FH5" s="4" t="s">
        <v>35</v>
      </c>
    </row>
    <row r="6" spans="1:164" x14ac:dyDescent="0.2">
      <c r="A6" s="2" t="s">
        <v>13</v>
      </c>
      <c r="B6" s="4">
        <f t="shared" si="2"/>
        <v>154</v>
      </c>
      <c r="C6" s="4">
        <f t="shared" si="3"/>
        <v>68</v>
      </c>
      <c r="D6" s="6">
        <f t="shared" si="4"/>
        <v>1</v>
      </c>
      <c r="E6" s="4">
        <f t="shared" si="0"/>
        <v>16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12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  <c r="EQ6" s="4" t="s">
        <v>32</v>
      </c>
      <c r="ER6" s="4" t="s">
        <v>32</v>
      </c>
      <c r="ES6" s="4" t="s">
        <v>34</v>
      </c>
      <c r="ET6" s="4" t="s">
        <v>34</v>
      </c>
      <c r="EU6" s="4" t="s">
        <v>34</v>
      </c>
      <c r="EV6" s="4" t="s">
        <v>7</v>
      </c>
      <c r="EW6" s="4" t="s">
        <v>7</v>
      </c>
      <c r="EX6" s="4" t="s">
        <v>7</v>
      </c>
      <c r="EY6" s="4" t="s">
        <v>7</v>
      </c>
      <c r="EZ6" s="4" t="s">
        <v>7</v>
      </c>
      <c r="FA6" s="4" t="s">
        <v>7</v>
      </c>
      <c r="FB6" s="4" t="s">
        <v>32</v>
      </c>
      <c r="FC6" s="4" t="s">
        <v>7</v>
      </c>
      <c r="FD6" s="4" t="s">
        <v>7</v>
      </c>
      <c r="FE6" s="4" t="s">
        <v>7</v>
      </c>
      <c r="FF6" s="4" t="s">
        <v>32</v>
      </c>
      <c r="FG6" s="4" t="s">
        <v>32</v>
      </c>
      <c r="FH6" s="4" t="s">
        <v>32</v>
      </c>
    </row>
    <row r="7" spans="1:164" x14ac:dyDescent="0.2">
      <c r="A7" s="2" t="s">
        <v>14</v>
      </c>
      <c r="B7" s="4">
        <f t="shared" si="2"/>
        <v>154</v>
      </c>
      <c r="C7" s="4">
        <f t="shared" si="3"/>
        <v>133</v>
      </c>
      <c r="D7" s="6">
        <f t="shared" si="4"/>
        <v>7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  <c r="EQ7" s="4" t="s">
        <v>7</v>
      </c>
      <c r="ER7" s="4" t="s">
        <v>7</v>
      </c>
      <c r="ES7" s="4" t="s">
        <v>7</v>
      </c>
      <c r="ET7" s="4" t="s">
        <v>7</v>
      </c>
      <c r="EU7" s="4" t="s">
        <v>7</v>
      </c>
      <c r="EV7" s="4" t="s">
        <v>7</v>
      </c>
      <c r="EW7" s="4" t="s">
        <v>7</v>
      </c>
      <c r="EX7" s="4" t="s">
        <v>7</v>
      </c>
      <c r="EY7" s="4" t="s">
        <v>42</v>
      </c>
      <c r="EZ7" s="4" t="s">
        <v>42</v>
      </c>
      <c r="FA7" s="4" t="s">
        <v>42</v>
      </c>
      <c r="FB7" s="4" t="s">
        <v>7</v>
      </c>
      <c r="FC7" s="4" t="s">
        <v>7</v>
      </c>
      <c r="FD7" s="4" t="s">
        <v>7</v>
      </c>
      <c r="FE7" s="4" t="s">
        <v>7</v>
      </c>
      <c r="FF7" s="4" t="s">
        <v>42</v>
      </c>
      <c r="FG7" s="4" t="s">
        <v>42</v>
      </c>
      <c r="FH7" s="4" t="s">
        <v>42</v>
      </c>
    </row>
    <row r="8" spans="1:164" x14ac:dyDescent="0.2">
      <c r="A8" s="2" t="s">
        <v>15</v>
      </c>
      <c r="B8" s="4">
        <f t="shared" si="2"/>
        <v>154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52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  <c r="EQ8" s="4" t="s">
        <v>35</v>
      </c>
      <c r="ER8" s="4" t="s">
        <v>35</v>
      </c>
      <c r="ES8" s="4" t="s">
        <v>35</v>
      </c>
      <c r="ET8" s="4" t="s">
        <v>35</v>
      </c>
      <c r="EU8" s="4" t="s">
        <v>35</v>
      </c>
      <c r="EV8" s="4" t="s">
        <v>35</v>
      </c>
      <c r="EW8" s="4" t="s">
        <v>35</v>
      </c>
      <c r="EX8" s="4" t="s">
        <v>35</v>
      </c>
      <c r="EY8" s="4" t="s">
        <v>35</v>
      </c>
      <c r="EZ8" s="4" t="s">
        <v>35</v>
      </c>
      <c r="FA8" s="4" t="s">
        <v>35</v>
      </c>
      <c r="FB8" s="4" t="s">
        <v>35</v>
      </c>
      <c r="FC8" s="4" t="s">
        <v>35</v>
      </c>
      <c r="FD8" s="4" t="s">
        <v>35</v>
      </c>
      <c r="FE8" s="4" t="s">
        <v>35</v>
      </c>
      <c r="FF8" s="4" t="s">
        <v>35</v>
      </c>
      <c r="FG8" s="4" t="s">
        <v>35</v>
      </c>
      <c r="FH8" s="4" t="s">
        <v>35</v>
      </c>
    </row>
    <row r="9" spans="1:164" x14ac:dyDescent="0.2">
      <c r="A9" s="2" t="s">
        <v>16</v>
      </c>
      <c r="B9" s="4">
        <f t="shared" si="2"/>
        <v>154</v>
      </c>
      <c r="C9" s="4">
        <f t="shared" si="3"/>
        <v>148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  <c r="EQ9" s="4" t="s">
        <v>7</v>
      </c>
      <c r="ER9" s="4" t="s">
        <v>7</v>
      </c>
      <c r="ES9" s="4" t="s">
        <v>7</v>
      </c>
      <c r="ET9" s="4" t="s">
        <v>7</v>
      </c>
      <c r="EU9" s="4" t="s">
        <v>7</v>
      </c>
      <c r="EV9" s="4" t="s">
        <v>7</v>
      </c>
      <c r="EW9" s="4" t="s">
        <v>7</v>
      </c>
      <c r="EX9" s="4" t="s">
        <v>7</v>
      </c>
      <c r="EY9" s="4" t="s">
        <v>7</v>
      </c>
      <c r="EZ9" s="4" t="s">
        <v>7</v>
      </c>
      <c r="FA9" s="4" t="s">
        <v>7</v>
      </c>
      <c r="FB9" s="4" t="s">
        <v>7</v>
      </c>
      <c r="FC9" s="4" t="s">
        <v>7</v>
      </c>
      <c r="FD9" s="4" t="s">
        <v>7</v>
      </c>
      <c r="FE9" s="4" t="s">
        <v>7</v>
      </c>
      <c r="FF9" s="4" t="s">
        <v>7</v>
      </c>
      <c r="FG9" s="4" t="s">
        <v>7</v>
      </c>
      <c r="FH9" s="4" t="s">
        <v>7</v>
      </c>
    </row>
    <row r="10" spans="1:164" x14ac:dyDescent="0.2">
      <c r="A10" s="2" t="s">
        <v>17</v>
      </c>
      <c r="B10" s="4">
        <f t="shared" si="2"/>
        <v>154</v>
      </c>
      <c r="C10" s="4">
        <f t="shared" si="3"/>
        <v>130</v>
      </c>
      <c r="D10" s="6">
        <f t="shared" si="4"/>
        <v>5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  <c r="EQ10" s="4" t="s">
        <v>7</v>
      </c>
      <c r="ER10" s="4" t="s">
        <v>7</v>
      </c>
      <c r="ES10" s="4" t="s">
        <v>7</v>
      </c>
      <c r="ET10" s="4" t="s">
        <v>7</v>
      </c>
      <c r="EU10" s="4" t="s">
        <v>7</v>
      </c>
      <c r="EV10" s="4" t="s">
        <v>7</v>
      </c>
      <c r="EW10" s="4" t="s">
        <v>42</v>
      </c>
      <c r="EX10" s="4" t="s">
        <v>42</v>
      </c>
      <c r="EY10" s="4" t="s">
        <v>42</v>
      </c>
      <c r="EZ10" s="4" t="s">
        <v>42</v>
      </c>
      <c r="FA10" s="4" t="s">
        <v>42</v>
      </c>
      <c r="FB10" s="4" t="s">
        <v>7</v>
      </c>
      <c r="FC10" s="4" t="s">
        <v>7</v>
      </c>
      <c r="FD10" s="4" t="s">
        <v>7</v>
      </c>
      <c r="FE10" s="4" t="s">
        <v>7</v>
      </c>
      <c r="FF10" s="4" t="s">
        <v>7</v>
      </c>
      <c r="FG10" s="4" t="s">
        <v>7</v>
      </c>
      <c r="FH10" s="4" t="s">
        <v>7</v>
      </c>
    </row>
    <row r="11" spans="1:164" x14ac:dyDescent="0.2">
      <c r="A11" s="2" t="s">
        <v>18</v>
      </c>
      <c r="B11" s="4">
        <f t="shared" si="2"/>
        <v>154</v>
      </c>
      <c r="C11" s="4">
        <f t="shared" si="3"/>
        <v>142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1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  <c r="EQ11" s="4" t="s">
        <v>7</v>
      </c>
      <c r="ER11" s="4" t="s">
        <v>7</v>
      </c>
      <c r="ES11" s="4" t="s">
        <v>7</v>
      </c>
      <c r="ET11" s="4" t="s">
        <v>7</v>
      </c>
      <c r="EU11" s="4" t="s">
        <v>7</v>
      </c>
      <c r="EV11" s="4" t="s">
        <v>7</v>
      </c>
      <c r="EW11" s="4" t="s">
        <v>7</v>
      </c>
      <c r="EX11" s="4" t="s">
        <v>7</v>
      </c>
      <c r="EY11" s="4" t="s">
        <v>7</v>
      </c>
      <c r="EZ11" s="4" t="s">
        <v>7</v>
      </c>
      <c r="FA11" s="4" t="s">
        <v>7</v>
      </c>
      <c r="FB11" s="4" t="s">
        <v>7</v>
      </c>
      <c r="FC11" s="4" t="s">
        <v>7</v>
      </c>
      <c r="FD11" s="4" t="s">
        <v>7</v>
      </c>
      <c r="FE11" s="4" t="s">
        <v>7</v>
      </c>
      <c r="FF11" s="4" t="s">
        <v>38</v>
      </c>
      <c r="FG11" s="4" t="s">
        <v>7</v>
      </c>
      <c r="FH11" s="4" t="s">
        <v>7</v>
      </c>
    </row>
    <row r="12" spans="1:16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64" x14ac:dyDescent="0.2">
      <c r="A13" s="2" t="s">
        <v>20</v>
      </c>
      <c r="B13" s="4">
        <f t="shared" si="2"/>
        <v>154</v>
      </c>
      <c r="C13" s="4">
        <f t="shared" si="3"/>
        <v>24</v>
      </c>
      <c r="D13" s="6">
        <f t="shared" si="4"/>
        <v>3</v>
      </c>
      <c r="E13" s="4">
        <f t="shared" si="0"/>
        <v>1</v>
      </c>
      <c r="F13" s="4">
        <f t="shared" si="1"/>
        <v>105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  <c r="EQ13" s="4" t="s">
        <v>7</v>
      </c>
      <c r="ER13" s="4" t="s">
        <v>42</v>
      </c>
      <c r="ES13" s="4" t="s">
        <v>7</v>
      </c>
      <c r="ET13" s="4" t="s">
        <v>35</v>
      </c>
      <c r="EU13" s="4" t="s">
        <v>35</v>
      </c>
      <c r="EV13" s="4" t="s">
        <v>7</v>
      </c>
      <c r="EW13" s="4" t="s">
        <v>35</v>
      </c>
      <c r="EX13" s="4" t="s">
        <v>35</v>
      </c>
      <c r="EY13" s="4" t="s">
        <v>35</v>
      </c>
      <c r="EZ13" s="4" t="s">
        <v>35</v>
      </c>
      <c r="FA13" s="4" t="s">
        <v>35</v>
      </c>
      <c r="FB13" s="4" t="s">
        <v>35</v>
      </c>
      <c r="FC13" s="4" t="s">
        <v>35</v>
      </c>
      <c r="FD13" s="4" t="s">
        <v>35</v>
      </c>
      <c r="FE13" s="4" t="s">
        <v>35</v>
      </c>
      <c r="FF13" s="4" t="s">
        <v>35</v>
      </c>
      <c r="FG13" s="4" t="s">
        <v>35</v>
      </c>
      <c r="FH13" s="4" t="s">
        <v>35</v>
      </c>
    </row>
    <row r="14" spans="1:164" x14ac:dyDescent="0.2">
      <c r="A14" s="2" t="s">
        <v>21</v>
      </c>
      <c r="B14" s="4">
        <f t="shared" si="2"/>
        <v>154</v>
      </c>
      <c r="C14" s="4">
        <f t="shared" si="3"/>
        <v>153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  <c r="EQ14" s="4" t="s">
        <v>7</v>
      </c>
      <c r="ER14" s="4" t="s">
        <v>7</v>
      </c>
      <c r="ES14" s="4" t="s">
        <v>7</v>
      </c>
      <c r="ET14" s="4" t="s">
        <v>7</v>
      </c>
      <c r="EU14" s="4" t="s">
        <v>7</v>
      </c>
      <c r="EV14" s="4" t="s">
        <v>7</v>
      </c>
      <c r="EW14" s="4" t="s">
        <v>7</v>
      </c>
      <c r="EX14" s="4" t="s">
        <v>7</v>
      </c>
      <c r="EY14" s="4" t="s">
        <v>7</v>
      </c>
      <c r="EZ14" s="4" t="s">
        <v>7</v>
      </c>
      <c r="FA14" s="4" t="s">
        <v>7</v>
      </c>
      <c r="FB14" s="4" t="s">
        <v>7</v>
      </c>
      <c r="FC14" s="4" t="s">
        <v>7</v>
      </c>
      <c r="FD14" s="4" t="s">
        <v>7</v>
      </c>
      <c r="FE14" s="4" t="s">
        <v>7</v>
      </c>
      <c r="FF14" s="4" t="s">
        <v>7</v>
      </c>
      <c r="FG14" s="4" t="s">
        <v>7</v>
      </c>
      <c r="FH14" s="4" t="s">
        <v>7</v>
      </c>
    </row>
    <row r="15" spans="1:164" x14ac:dyDescent="0.2">
      <c r="A15" s="2" t="s">
        <v>22</v>
      </c>
      <c r="B15" s="4">
        <f t="shared" si="2"/>
        <v>154</v>
      </c>
      <c r="C15" s="4">
        <f t="shared" si="3"/>
        <v>142</v>
      </c>
      <c r="D15" s="6">
        <f t="shared" si="4"/>
        <v>4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  <c r="EQ15" s="4" t="s">
        <v>7</v>
      </c>
      <c r="ER15" s="4" t="s">
        <v>7</v>
      </c>
      <c r="ES15" s="4" t="s">
        <v>7</v>
      </c>
      <c r="ET15" s="4" t="s">
        <v>7</v>
      </c>
      <c r="EU15" s="4" t="s">
        <v>7</v>
      </c>
      <c r="EV15" s="4" t="s">
        <v>42</v>
      </c>
      <c r="EW15" s="4" t="s">
        <v>7</v>
      </c>
      <c r="EX15" s="4" t="s">
        <v>7</v>
      </c>
      <c r="EY15" s="4" t="s">
        <v>42</v>
      </c>
      <c r="EZ15" s="4" t="s">
        <v>42</v>
      </c>
      <c r="FA15" s="4" t="s">
        <v>42</v>
      </c>
      <c r="FB15" s="4" t="s">
        <v>7</v>
      </c>
      <c r="FC15" s="4" t="s">
        <v>7</v>
      </c>
      <c r="FD15" s="4" t="s">
        <v>7</v>
      </c>
      <c r="FE15" s="4" t="s">
        <v>7</v>
      </c>
      <c r="FF15" s="4" t="s">
        <v>7</v>
      </c>
      <c r="FG15" s="4" t="s">
        <v>7</v>
      </c>
      <c r="FH15" s="4" t="s">
        <v>7</v>
      </c>
    </row>
    <row r="16" spans="1:164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</row>
    <row r="17" spans="1:164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</row>
    <row r="18" spans="1:164" x14ac:dyDescent="0.2">
      <c r="A18" s="2" t="s">
        <v>25</v>
      </c>
      <c r="B18" s="4">
        <f t="shared" si="2"/>
        <v>154</v>
      </c>
      <c r="C18" s="4">
        <f t="shared" si="3"/>
        <v>125</v>
      </c>
      <c r="D18" s="6">
        <f t="shared" si="4"/>
        <v>1</v>
      </c>
      <c r="E18" s="4">
        <f t="shared" si="0"/>
        <v>0</v>
      </c>
      <c r="F18" s="4">
        <f t="shared" si="1"/>
        <v>21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  <c r="EQ18" s="4" t="s">
        <v>7</v>
      </c>
      <c r="ER18" s="4" t="s">
        <v>7</v>
      </c>
      <c r="ES18" s="4" t="s">
        <v>7</v>
      </c>
      <c r="ET18" s="4" t="s">
        <v>7</v>
      </c>
      <c r="EU18" s="4" t="s">
        <v>7</v>
      </c>
      <c r="EV18" s="4" t="s">
        <v>7</v>
      </c>
      <c r="EW18" s="4" t="s">
        <v>7</v>
      </c>
      <c r="EX18" s="4" t="s">
        <v>7</v>
      </c>
      <c r="EY18" s="4" t="s">
        <v>35</v>
      </c>
      <c r="EZ18" s="4" t="s">
        <v>35</v>
      </c>
      <c r="FA18" s="4" t="s">
        <v>35</v>
      </c>
      <c r="FB18" s="4" t="s">
        <v>35</v>
      </c>
      <c r="FC18" s="4" t="s">
        <v>35</v>
      </c>
      <c r="FD18" s="4" t="s">
        <v>7</v>
      </c>
      <c r="FE18" s="4" t="s">
        <v>7</v>
      </c>
      <c r="FF18" s="4" t="s">
        <v>7</v>
      </c>
      <c r="FG18" s="4" t="s">
        <v>7</v>
      </c>
      <c r="FH18" s="4" t="s">
        <v>7</v>
      </c>
    </row>
    <row r="19" spans="1:164" x14ac:dyDescent="0.2">
      <c r="A19" s="2" t="s">
        <v>26</v>
      </c>
      <c r="B19" s="4">
        <f t="shared" si="2"/>
        <v>154</v>
      </c>
      <c r="C19" s="4">
        <f t="shared" si="3"/>
        <v>138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  <c r="EQ19" s="4" t="s">
        <v>7</v>
      </c>
      <c r="ER19" s="4" t="s">
        <v>7</v>
      </c>
      <c r="ES19" s="4" t="s">
        <v>7</v>
      </c>
      <c r="ET19" s="4" t="s">
        <v>7</v>
      </c>
      <c r="EU19" s="4" t="s">
        <v>7</v>
      </c>
      <c r="EV19" s="4" t="s">
        <v>7</v>
      </c>
      <c r="EW19" s="4" t="s">
        <v>7</v>
      </c>
      <c r="EX19" s="4" t="s">
        <v>7</v>
      </c>
      <c r="EY19" s="4" t="s">
        <v>7</v>
      </c>
      <c r="EZ19" s="4" t="s">
        <v>7</v>
      </c>
      <c r="FA19" s="4" t="s">
        <v>7</v>
      </c>
      <c r="FB19" s="4" t="s">
        <v>7</v>
      </c>
      <c r="FC19" s="4" t="s">
        <v>7</v>
      </c>
      <c r="FD19" s="4" t="s">
        <v>7</v>
      </c>
      <c r="FE19" s="4" t="s">
        <v>7</v>
      </c>
      <c r="FF19" s="4" t="s">
        <v>7</v>
      </c>
      <c r="FG19" s="4" t="s">
        <v>7</v>
      </c>
      <c r="FH19" s="4" t="s">
        <v>7</v>
      </c>
    </row>
    <row r="20" spans="1:164" x14ac:dyDescent="0.2">
      <c r="A20" s="2" t="s">
        <v>27</v>
      </c>
      <c r="B20" s="4">
        <f t="shared" si="2"/>
        <v>154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25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  <c r="EQ20" s="4" t="s">
        <v>35</v>
      </c>
      <c r="ER20" s="4" t="s">
        <v>35</v>
      </c>
      <c r="ES20" s="4" t="s">
        <v>35</v>
      </c>
      <c r="ET20" s="4" t="s">
        <v>35</v>
      </c>
      <c r="EU20" s="4" t="s">
        <v>35</v>
      </c>
      <c r="EV20" s="4" t="s">
        <v>35</v>
      </c>
      <c r="EW20" s="4" t="s">
        <v>35</v>
      </c>
      <c r="EX20" s="4" t="s">
        <v>35</v>
      </c>
      <c r="EY20" s="4" t="s">
        <v>35</v>
      </c>
      <c r="EZ20" s="4" t="s">
        <v>35</v>
      </c>
      <c r="FA20" s="4" t="s">
        <v>35</v>
      </c>
      <c r="FB20" s="4" t="s">
        <v>35</v>
      </c>
      <c r="FC20" s="4" t="s">
        <v>35</v>
      </c>
      <c r="FD20" s="4" t="s">
        <v>35</v>
      </c>
      <c r="FE20" s="4" t="s">
        <v>35</v>
      </c>
      <c r="FF20" s="4" t="s">
        <v>35</v>
      </c>
      <c r="FG20" s="4" t="s">
        <v>35</v>
      </c>
      <c r="FH20" s="4" t="s">
        <v>35</v>
      </c>
    </row>
    <row r="21" spans="1:16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64" x14ac:dyDescent="0.2">
      <c r="A22" s="4" t="s">
        <v>29</v>
      </c>
      <c r="B22" s="4">
        <f t="shared" ref="B22:B26" si="9">COUNTA(K22:VR22)</f>
        <v>154</v>
      </c>
      <c r="C22" s="4">
        <f t="shared" ref="C22:C26" si="10">COUNTIF(K22:VR22,"P")</f>
        <v>145</v>
      </c>
      <c r="D22" s="6">
        <f t="shared" si="4"/>
        <v>7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  <c r="EQ22" s="4" t="s">
        <v>42</v>
      </c>
      <c r="ER22" s="4" t="s">
        <v>42</v>
      </c>
      <c r="ES22" s="4" t="s">
        <v>7</v>
      </c>
      <c r="ET22" s="4" t="s">
        <v>7</v>
      </c>
      <c r="EU22" s="4" t="s">
        <v>7</v>
      </c>
      <c r="EV22" s="4" t="s">
        <v>7</v>
      </c>
      <c r="EW22" s="4" t="s">
        <v>7</v>
      </c>
      <c r="EX22" s="4" t="s">
        <v>7</v>
      </c>
      <c r="EY22" s="4" t="s">
        <v>7</v>
      </c>
      <c r="EZ22" s="4" t="s">
        <v>7</v>
      </c>
      <c r="FA22" s="4" t="s">
        <v>7</v>
      </c>
      <c r="FB22" s="4" t="s">
        <v>7</v>
      </c>
      <c r="FC22" s="4" t="s">
        <v>7</v>
      </c>
      <c r="FD22" s="4" t="s">
        <v>7</v>
      </c>
      <c r="FE22" s="4" t="s">
        <v>7</v>
      </c>
      <c r="FF22" s="4" t="s">
        <v>7</v>
      </c>
      <c r="FG22" s="4" t="s">
        <v>7</v>
      </c>
      <c r="FH22" s="4" t="s">
        <v>7</v>
      </c>
    </row>
    <row r="23" spans="1:164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64" x14ac:dyDescent="0.2">
      <c r="A24" s="2" t="s">
        <v>31</v>
      </c>
      <c r="B24" s="4">
        <f t="shared" si="9"/>
        <v>154</v>
      </c>
      <c r="C24" s="4">
        <f t="shared" si="10"/>
        <v>144</v>
      </c>
      <c r="D24" s="6">
        <f t="shared" si="4"/>
        <v>2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  <c r="EQ24" s="4" t="s">
        <v>7</v>
      </c>
      <c r="ER24" s="4" t="s">
        <v>7</v>
      </c>
      <c r="ES24" s="4" t="s">
        <v>7</v>
      </c>
      <c r="ET24" s="4" t="s">
        <v>7</v>
      </c>
      <c r="EU24" s="4" t="s">
        <v>7</v>
      </c>
      <c r="EV24" s="4" t="s">
        <v>7</v>
      </c>
      <c r="EW24" s="4" t="s">
        <v>7</v>
      </c>
      <c r="EX24" s="4" t="s">
        <v>7</v>
      </c>
      <c r="EY24" s="4" t="s">
        <v>42</v>
      </c>
      <c r="EZ24" s="4" t="s">
        <v>42</v>
      </c>
      <c r="FA24" s="4" t="s">
        <v>7</v>
      </c>
      <c r="FB24" s="4" t="s">
        <v>7</v>
      </c>
      <c r="FC24" s="4" t="s">
        <v>7</v>
      </c>
      <c r="FD24" s="4" t="s">
        <v>7</v>
      </c>
      <c r="FE24" s="4" t="s">
        <v>7</v>
      </c>
      <c r="FF24" s="4" t="s">
        <v>7</v>
      </c>
      <c r="FG24" s="4" t="s">
        <v>7</v>
      </c>
      <c r="FH24" s="4" t="s">
        <v>7</v>
      </c>
    </row>
    <row r="25" spans="1:164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</row>
    <row r="26" spans="1:164" x14ac:dyDescent="0.2">
      <c r="A26" s="2" t="s">
        <v>36</v>
      </c>
      <c r="B26" s="4">
        <f t="shared" si="9"/>
        <v>154</v>
      </c>
      <c r="C26" s="4">
        <f t="shared" si="10"/>
        <v>140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  <c r="EQ26" s="4" t="s">
        <v>7</v>
      </c>
      <c r="ER26" s="4" t="s">
        <v>7</v>
      </c>
      <c r="ES26" s="4" t="s">
        <v>7</v>
      </c>
      <c r="ET26" s="4" t="s">
        <v>7</v>
      </c>
      <c r="EU26" s="4" t="s">
        <v>7</v>
      </c>
      <c r="EV26" s="4" t="s">
        <v>7</v>
      </c>
      <c r="EW26" s="4" t="s">
        <v>7</v>
      </c>
      <c r="EX26" s="4" t="s">
        <v>7</v>
      </c>
      <c r="EY26" s="4" t="s">
        <v>7</v>
      </c>
      <c r="EZ26" s="4" t="s">
        <v>7</v>
      </c>
      <c r="FA26" s="4" t="s">
        <v>7</v>
      </c>
      <c r="FB26" s="4" t="s">
        <v>7</v>
      </c>
      <c r="FC26" s="4" t="s">
        <v>7</v>
      </c>
      <c r="FD26" s="4" t="s">
        <v>7</v>
      </c>
      <c r="FE26" s="4" t="s">
        <v>7</v>
      </c>
      <c r="FF26" s="4" t="s">
        <v>7</v>
      </c>
      <c r="FG26" s="4" t="s">
        <v>7</v>
      </c>
      <c r="FH26" s="4" t="s">
        <v>7</v>
      </c>
    </row>
    <row r="27" spans="1:164" x14ac:dyDescent="0.2">
      <c r="A27" s="2" t="s">
        <v>37</v>
      </c>
      <c r="B27" s="4">
        <f t="shared" ref="B27:B29" si="11">COUNTA(K27:VR27)</f>
        <v>144</v>
      </c>
      <c r="C27" s="4">
        <f t="shared" ref="C27:C29" si="12">COUNTIF(K27:VR27,"P")</f>
        <v>105</v>
      </c>
      <c r="D27" s="6">
        <f t="shared" ref="D27:D29" si="13">COUNTIF(K27:VR27,"REP")</f>
        <v>9</v>
      </c>
      <c r="E27" s="4">
        <f t="shared" ref="E27:E29" si="14">COUNTIF(K27:VS27,"A")</f>
        <v>0</v>
      </c>
      <c r="F27" s="4">
        <f t="shared" ref="F27:F29" si="15">COUNTIF(K27:VT27,"B")</f>
        <v>7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  <c r="EQ27" s="4" t="s">
        <v>7</v>
      </c>
      <c r="ER27" s="4" t="s">
        <v>42</v>
      </c>
      <c r="ES27" s="4" t="s">
        <v>42</v>
      </c>
      <c r="ET27" s="4" t="s">
        <v>35</v>
      </c>
      <c r="EU27" s="4" t="s">
        <v>35</v>
      </c>
      <c r="EV27" s="4" t="s">
        <v>35</v>
      </c>
      <c r="EW27" s="4" t="s">
        <v>35</v>
      </c>
      <c r="EX27" s="4" t="s">
        <v>7</v>
      </c>
      <c r="EY27" s="4" t="s">
        <v>7</v>
      </c>
      <c r="EZ27" s="4" t="s">
        <v>7</v>
      </c>
      <c r="FA27" s="4" t="s">
        <v>7</v>
      </c>
      <c r="FB27" s="4" t="s">
        <v>7</v>
      </c>
      <c r="FC27" s="4" t="s">
        <v>7</v>
      </c>
      <c r="FD27" s="4" t="s">
        <v>7</v>
      </c>
      <c r="FE27" s="4" t="s">
        <v>7</v>
      </c>
      <c r="FF27" s="4" t="s">
        <v>7</v>
      </c>
      <c r="FG27" s="4" t="s">
        <v>7</v>
      </c>
      <c r="FH27" s="4" t="s">
        <v>7</v>
      </c>
    </row>
    <row r="28" spans="1:164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</row>
    <row r="29" spans="1:164" x14ac:dyDescent="0.2">
      <c r="A29" s="2" t="s">
        <v>43</v>
      </c>
      <c r="B29" s="4">
        <f t="shared" si="11"/>
        <v>122</v>
      </c>
      <c r="C29" s="4">
        <f t="shared" si="12"/>
        <v>114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  <c r="EQ29" s="4" t="s">
        <v>7</v>
      </c>
      <c r="ER29" s="4" t="s">
        <v>7</v>
      </c>
      <c r="ES29" s="4" t="s">
        <v>7</v>
      </c>
      <c r="ET29" s="4" t="s">
        <v>7</v>
      </c>
      <c r="EU29" s="4" t="s">
        <v>7</v>
      </c>
      <c r="EV29" s="4" t="s">
        <v>7</v>
      </c>
      <c r="EW29" s="4" t="s">
        <v>7</v>
      </c>
      <c r="EX29" s="4" t="s">
        <v>7</v>
      </c>
      <c r="EY29" s="4" t="s">
        <v>7</v>
      </c>
      <c r="EZ29" s="4" t="s">
        <v>7</v>
      </c>
      <c r="FA29" s="4" t="s">
        <v>7</v>
      </c>
      <c r="FB29" s="4" t="s">
        <v>7</v>
      </c>
      <c r="FC29" s="4" t="s">
        <v>7</v>
      </c>
      <c r="FD29" s="4" t="s">
        <v>7</v>
      </c>
      <c r="FE29" s="4" t="s">
        <v>7</v>
      </c>
      <c r="FF29" s="4" t="s">
        <v>7</v>
      </c>
      <c r="FG29" s="4" t="s">
        <v>7</v>
      </c>
      <c r="FH29" s="4" t="s">
        <v>7</v>
      </c>
    </row>
    <row r="30" spans="1:164" x14ac:dyDescent="0.2">
      <c r="A30" s="2" t="s">
        <v>46</v>
      </c>
      <c r="B30" s="4">
        <f t="shared" ref="B30" si="20">COUNTA(K30:VR30)</f>
        <v>67</v>
      </c>
      <c r="C30" s="4">
        <f t="shared" ref="C30" si="21">COUNTIF(K30:VR30,"P")</f>
        <v>45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14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6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  <c r="EQ30" s="4" t="s">
        <v>35</v>
      </c>
      <c r="ER30" s="4" t="s">
        <v>35</v>
      </c>
      <c r="ES30" s="4" t="s">
        <v>34</v>
      </c>
      <c r="ET30" s="4" t="s">
        <v>34</v>
      </c>
      <c r="EU30" s="4" t="s">
        <v>34</v>
      </c>
      <c r="EV30" s="4" t="s">
        <v>34</v>
      </c>
      <c r="EW30" s="4" t="s">
        <v>34</v>
      </c>
      <c r="EX30" s="4" t="s">
        <v>34</v>
      </c>
      <c r="EY30" s="4" t="s">
        <v>7</v>
      </c>
      <c r="EZ30" s="4" t="s">
        <v>35</v>
      </c>
      <c r="FA30" s="4" t="s">
        <v>35</v>
      </c>
      <c r="FB30" s="4" t="s">
        <v>35</v>
      </c>
      <c r="FC30" s="4" t="s">
        <v>35</v>
      </c>
      <c r="FD30" s="4" t="s">
        <v>35</v>
      </c>
      <c r="FE30" s="4" t="s">
        <v>35</v>
      </c>
      <c r="FF30" s="4" t="s">
        <v>35</v>
      </c>
      <c r="FG30" s="4" t="s">
        <v>35</v>
      </c>
      <c r="FH30" s="4" t="s">
        <v>35</v>
      </c>
    </row>
    <row r="31" spans="1:164" x14ac:dyDescent="0.2">
      <c r="A31" s="2" t="s">
        <v>48</v>
      </c>
      <c r="B31" s="4">
        <f t="shared" ref="B31" si="29">COUNTA(K31:VR31)</f>
        <v>55</v>
      </c>
      <c r="C31" s="4">
        <f t="shared" ref="C31" si="30">COUNTIF(K31:VR31,"P")</f>
        <v>43</v>
      </c>
      <c r="D31" s="6">
        <f t="shared" ref="D31" si="31">COUNTIF(K31:VR31,"REP")</f>
        <v>2</v>
      </c>
      <c r="E31" s="4">
        <f t="shared" ref="E31" si="32">COUNTIF(K31:VS31,"A")</f>
        <v>0</v>
      </c>
      <c r="F31" s="4">
        <f t="shared" ref="F31" si="33">COUNTIF(K31:VT31,"B")</f>
        <v>9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  <c r="EQ31" s="4" t="s">
        <v>7</v>
      </c>
      <c r="ER31" s="4" t="s">
        <v>7</v>
      </c>
      <c r="ES31" s="4" t="s">
        <v>7</v>
      </c>
      <c r="ET31" s="4" t="s">
        <v>7</v>
      </c>
      <c r="EU31" s="4" t="s">
        <v>7</v>
      </c>
      <c r="EV31" s="4" t="s">
        <v>35</v>
      </c>
      <c r="EW31" s="4" t="s">
        <v>35</v>
      </c>
      <c r="EX31" s="4" t="s">
        <v>35</v>
      </c>
      <c r="EY31" s="4" t="s">
        <v>35</v>
      </c>
      <c r="EZ31" s="4" t="s">
        <v>35</v>
      </c>
      <c r="FA31" s="4" t="s">
        <v>35</v>
      </c>
      <c r="FB31" s="4" t="s">
        <v>7</v>
      </c>
      <c r="FC31" s="4" t="s">
        <v>7</v>
      </c>
      <c r="FD31" s="4" t="s">
        <v>7</v>
      </c>
      <c r="FE31" s="4" t="s">
        <v>7</v>
      </c>
      <c r="FF31" s="4" t="s">
        <v>42</v>
      </c>
      <c r="FG31" s="4" t="s">
        <v>7</v>
      </c>
      <c r="FH31" s="4" t="s">
        <v>7</v>
      </c>
    </row>
    <row r="32" spans="1:164" x14ac:dyDescent="0.2">
      <c r="A32" s="2" t="s">
        <v>47</v>
      </c>
      <c r="B32" s="4">
        <f t="shared" ref="B32" si="38">COUNTA(K32:VR32)</f>
        <v>51</v>
      </c>
      <c r="C32" s="4">
        <f t="shared" ref="C32" si="39">COUNTIF(K32:VR32,"P")</f>
        <v>46</v>
      </c>
      <c r="D32" s="6">
        <f t="shared" ref="D32" si="40">COUNTIF(K32:VR32,"REP")</f>
        <v>0</v>
      </c>
      <c r="E32" s="4">
        <f t="shared" ref="E32" si="41">COUNTIF(K32:VS32,"A")</f>
        <v>3</v>
      </c>
      <c r="F32" s="4">
        <f t="shared" ref="F32" si="42">COUNTIF(K32:VT32,"B")</f>
        <v>2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  <c r="EQ32" s="4" t="s">
        <v>7</v>
      </c>
      <c r="ER32" s="4" t="s">
        <v>7</v>
      </c>
      <c r="ES32" s="4" t="s">
        <v>7</v>
      </c>
      <c r="ET32" s="4" t="s">
        <v>35</v>
      </c>
      <c r="EU32" s="4" t="s">
        <v>35</v>
      </c>
      <c r="EV32" s="4" t="s">
        <v>32</v>
      </c>
      <c r="EW32" s="4" t="s">
        <v>32</v>
      </c>
      <c r="EX32" s="4" t="s">
        <v>7</v>
      </c>
      <c r="EY32" s="4" t="s">
        <v>7</v>
      </c>
      <c r="EZ32" s="4" t="s">
        <v>7</v>
      </c>
      <c r="FA32" s="4" t="s">
        <v>7</v>
      </c>
      <c r="FB32" s="4" t="s">
        <v>7</v>
      </c>
      <c r="FC32" s="4" t="s">
        <v>7</v>
      </c>
      <c r="FD32" s="4" t="s">
        <v>7</v>
      </c>
      <c r="FE32" s="4" t="s">
        <v>7</v>
      </c>
      <c r="FF32" s="4" t="s">
        <v>7</v>
      </c>
      <c r="FG32" s="4" t="s">
        <v>7</v>
      </c>
      <c r="FH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2026-05-15T14:21:04Z</dcterms:modified>
</cp:coreProperties>
</file>