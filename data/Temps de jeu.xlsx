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03B19D2-5163-6A4C-8503-2C0A84A95200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S32" i="1" s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G31" i="1" s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K32" i="1" l="1"/>
  <c r="S8" i="1"/>
  <c r="G32" i="1"/>
  <c r="PW32" i="1" s="1"/>
  <c r="K30" i="1"/>
  <c r="K31" i="1"/>
  <c r="G30" i="1"/>
  <c r="PW30" i="1" s="1"/>
  <c r="PW31" i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<sst xmlns="http://schemas.openxmlformats.org/spreadsheetml/2006/main" count="1229" uniqueCount="152">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</sst>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FG1" activePane="topRight" state="frozen"/>
      <selection pane="topRight" activeCell="FM26" sqref="FM26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1455</v>
      </c>
      <c r="C2">
        <f>SUM(CY2,DC2,DG2,DK2,DO2,DS2,DW2,EA2,EE2,EI2,EM2,EQ2,EU2,EY2,FC2,FG2,FK2,FO2,FS2,FW2,GA2,GE2,GI2,GM2,GQ2,GU2)</f>
        <v>1170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18</v>
      </c>
      <c r="H2" s="3">
        <f>COUNTIF(AI2:PR2,"T")</f>
        <v>18</v>
      </c>
      <c r="I2" s="3">
        <f>COUNTIF(AI2:PR2,"R")</f>
        <v>0</v>
      </c>
      <c r="J2" s="3">
        <f>COUNTIF(AI2:PR2,"NR")</f>
        <v>6</v>
      </c>
      <c r="K2">
        <f>SUM(L2:M2)</f>
        <v>13</v>
      </c>
      <c r="L2" s="3">
        <f>COUNTIF(CY2:GX2,"T")</f>
        <v>13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FC2">
        <v>90</v>
      </c>
      <c r="FD2" t="s">
        <v>110</v>
      </c>
      <c r="FG2">
        <v>90</v>
      </c>
      <c r="FH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630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540</v>
      </c>
      <c r="F3">
        <f t="shared" ref="F3:F30" si="5">SUM(AI3,AM3,AQ3,AU3,AY3,BC3,BG3,BK3,BO3,BS3,BW3,CA3,CE3,CI3,CM3,CQ3,CU3)</f>
        <v>90</v>
      </c>
      <c r="G3">
        <f t="shared" ref="G3:G29" si="6">SUM(H3:I3)</f>
        <v>8</v>
      </c>
      <c r="H3" s="3">
        <f t="shared" ref="H3:H29" si="7">COUNTIF(AI3:PR3,"T")</f>
        <v>6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6</v>
      </c>
      <c r="T3" s="3">
        <f t="shared" ref="T3:T29" si="19">COUNTIF(IU3:PR3,"T")</f>
        <v>6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FD3" t="s">
        <v>139</v>
      </c>
      <c r="FH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ME3">
        <v>90</v>
      </c>
      <c r="MF3" t="s">
        <v>110</v>
      </c>
      <c r="PS3" s="3">
        <f t="shared" ref="PS3:PS29" si="33">COUNTIF(AI3:PR3,"HG")</f>
        <v>21</v>
      </c>
      <c r="PT3" s="3">
        <f t="shared" ref="PT3:PT29" si="34">COUNTIF(CY3:GX3,"HG")</f>
        <v>15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7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7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FD4" t="s">
        <v>139</v>
      </c>
      <c r="FH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6</v>
      </c>
      <c r="PT4" s="3">
        <f t="shared" ref="PT4" si="64">COUNTIF(CY4:GX4,"HG")</f>
        <v>6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1292</v>
      </c>
      <c r="C5">
        <f t="shared" si="2"/>
        <v>682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19</v>
      </c>
      <c r="H5" s="3">
        <f t="shared" si="7"/>
        <v>16</v>
      </c>
      <c r="I5" s="3">
        <f t="shared" si="8"/>
        <v>3</v>
      </c>
      <c r="J5" s="3">
        <f t="shared" si="9"/>
        <v>0</v>
      </c>
      <c r="K5">
        <f t="shared" si="10"/>
        <v>9</v>
      </c>
      <c r="L5" s="3">
        <f t="shared" si="11"/>
        <v>8</v>
      </c>
      <c r="M5" s="3">
        <f t="shared" si="12"/>
        <v>1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FC5">
        <v>90</v>
      </c>
      <c r="FD5" t="s">
        <v>110</v>
      </c>
      <c r="FG5">
        <v>1</v>
      </c>
      <c r="FH5" t="s">
        <v>136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FD6" t="s">
        <v>139</v>
      </c>
      <c r="FH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21</v>
      </c>
      <c r="PT6" s="3">
        <f t="shared" si="34"/>
        <v>14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1758</v>
      </c>
      <c r="C7">
        <f t="shared" si="2"/>
        <v>913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22</v>
      </c>
      <c r="H7" s="3">
        <f t="shared" si="7"/>
        <v>21</v>
      </c>
      <c r="I7" s="3">
        <f t="shared" si="8"/>
        <v>1</v>
      </c>
      <c r="J7" s="3">
        <f t="shared" si="9"/>
        <v>0</v>
      </c>
      <c r="K7">
        <f t="shared" si="10"/>
        <v>11</v>
      </c>
      <c r="L7" s="3">
        <f t="shared" si="11"/>
        <v>11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2</v>
      </c>
      <c r="X7" s="4">
        <f t="shared" si="22"/>
        <v>2</v>
      </c>
      <c r="Y7" s="4">
        <f t="shared" si="23"/>
        <v>0</v>
      </c>
      <c r="Z7" s="4">
        <f t="shared" si="24"/>
        <v>0</v>
      </c>
      <c r="AA7">
        <f t="shared" si="25"/>
        <v>1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FC7">
        <v>90</v>
      </c>
      <c r="FD7" t="s">
        <v>110</v>
      </c>
      <c r="FG7">
        <v>90</v>
      </c>
      <c r="FH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FD8" t="s">
        <v>139</v>
      </c>
      <c r="FH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17</v>
      </c>
      <c r="PT8" s="3">
        <f t="shared" si="34"/>
        <v>13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1867</v>
      </c>
      <c r="C9">
        <f t="shared" si="2"/>
        <v>1111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26</v>
      </c>
      <c r="H9" s="3">
        <f t="shared" si="7"/>
        <v>21</v>
      </c>
      <c r="I9" s="3">
        <f t="shared" si="8"/>
        <v>5</v>
      </c>
      <c r="J9" s="3">
        <f t="shared" si="9"/>
        <v>0</v>
      </c>
      <c r="K9">
        <f t="shared" si="10"/>
        <v>14</v>
      </c>
      <c r="L9" s="3">
        <f t="shared" si="11"/>
        <v>12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FC9">
        <v>45</v>
      </c>
      <c r="FD9" t="s">
        <v>136</v>
      </c>
      <c r="FG9">
        <v>90</v>
      </c>
      <c r="FH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1151</v>
      </c>
      <c r="C10">
        <f t="shared" si="2"/>
        <v>551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19</v>
      </c>
      <c r="H10" s="3">
        <f t="shared" si="7"/>
        <v>11</v>
      </c>
      <c r="I10" s="3">
        <f t="shared" si="8"/>
        <v>8</v>
      </c>
      <c r="J10" s="3">
        <f t="shared" si="9"/>
        <v>3</v>
      </c>
      <c r="K10">
        <f t="shared" si="10"/>
        <v>8</v>
      </c>
      <c r="L10" s="3">
        <f t="shared" si="11"/>
        <v>6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FC10">
        <v>90</v>
      </c>
      <c r="FD10" t="s">
        <v>110</v>
      </c>
      <c r="FG10">
        <v>90</v>
      </c>
      <c r="FH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1034</v>
      </c>
      <c r="C11">
        <f t="shared" si="2"/>
        <v>310</v>
      </c>
      <c r="D11">
        <f t="shared" si="3"/>
        <v>209</v>
      </c>
      <c r="E11">
        <f t="shared" si="4"/>
        <v>270</v>
      </c>
      <c r="F11">
        <f t="shared" si="5"/>
        <v>245</v>
      </c>
      <c r="G11">
        <f t="shared" si="6"/>
        <v>19</v>
      </c>
      <c r="H11" s="3">
        <f t="shared" si="7"/>
        <v>15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3</v>
      </c>
      <c r="T11" s="3">
        <f t="shared" si="19"/>
        <v>3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FD11" t="s">
        <v>139</v>
      </c>
      <c r="FH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PS11" s="3">
        <f t="shared" si="33"/>
        <v>9</v>
      </c>
      <c r="PT11" s="3">
        <f t="shared" si="34"/>
        <v>7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FD13" t="s">
        <v>139</v>
      </c>
      <c r="FH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20</v>
      </c>
      <c r="PT13" s="3">
        <f t="shared" si="34"/>
        <v>13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1692</v>
      </c>
      <c r="C14">
        <f t="shared" si="2"/>
        <v>864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28</v>
      </c>
      <c r="H14" s="3">
        <f t="shared" si="7"/>
        <v>18</v>
      </c>
      <c r="I14" s="3">
        <f t="shared" si="8"/>
        <v>10</v>
      </c>
      <c r="J14" s="3">
        <f t="shared" si="9"/>
        <v>0</v>
      </c>
      <c r="K14">
        <f t="shared" si="10"/>
        <v>14</v>
      </c>
      <c r="L14" s="3">
        <f t="shared" si="11"/>
        <v>10</v>
      </c>
      <c r="M14" s="3">
        <f t="shared" si="12"/>
        <v>4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FC14">
        <v>7</v>
      </c>
      <c r="FD14" t="s">
        <v>136</v>
      </c>
      <c r="FG14">
        <v>18</v>
      </c>
      <c r="FH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1306</v>
      </c>
      <c r="C15">
        <f t="shared" si="2"/>
        <v>659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28</v>
      </c>
      <c r="H15" s="3">
        <f t="shared" si="7"/>
        <v>16</v>
      </c>
      <c r="I15" s="3">
        <f t="shared" si="8"/>
        <v>12</v>
      </c>
      <c r="J15" s="3">
        <f t="shared" si="9"/>
        <v>0</v>
      </c>
      <c r="K15">
        <f t="shared" si="10"/>
        <v>15</v>
      </c>
      <c r="L15" s="3">
        <f t="shared" si="11"/>
        <v>7</v>
      </c>
      <c r="M15" s="3">
        <f t="shared" si="12"/>
        <v>8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1</v>
      </c>
      <c r="Z15" s="4">
        <f t="shared" si="24"/>
        <v>1</v>
      </c>
      <c r="AA15">
        <f t="shared" si="25"/>
        <v>3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FC15">
        <v>45</v>
      </c>
      <c r="FD15" t="s">
        <v>110</v>
      </c>
      <c r="FG15">
        <v>8</v>
      </c>
      <c r="FH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1153</v>
      </c>
      <c r="C18">
        <f t="shared" si="2"/>
        <v>519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24</v>
      </c>
      <c r="H18" s="3">
        <f t="shared" si="7"/>
        <v>15</v>
      </c>
      <c r="I18" s="3">
        <f t="shared" si="8"/>
        <v>9</v>
      </c>
      <c r="J18" s="3">
        <f t="shared" si="9"/>
        <v>0</v>
      </c>
      <c r="K18">
        <f t="shared" si="10"/>
        <v>10</v>
      </c>
      <c r="L18" s="3">
        <f t="shared" si="11"/>
        <v>7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FD18" t="s">
        <v>139</v>
      </c>
      <c r="FH18" t="s">
        <v>139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975</v>
      </c>
      <c r="C19">
        <f t="shared" si="2"/>
        <v>341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22</v>
      </c>
      <c r="H19" s="3">
        <f t="shared" si="7"/>
        <v>9</v>
      </c>
      <c r="I19" s="3">
        <f t="shared" si="8"/>
        <v>13</v>
      </c>
      <c r="J19" s="3">
        <f t="shared" si="9"/>
        <v>2</v>
      </c>
      <c r="K19">
        <f t="shared" si="10"/>
        <v>9</v>
      </c>
      <c r="L19" s="3">
        <f t="shared" si="11"/>
        <v>3</v>
      </c>
      <c r="M19" s="3">
        <f t="shared" si="12"/>
        <v>6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FC19">
        <v>69</v>
      </c>
      <c r="FD19" t="s">
        <v>110</v>
      </c>
      <c r="FH19" t="s">
        <v>138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1887</v>
      </c>
      <c r="C20">
        <f t="shared" si="2"/>
        <v>1224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29</v>
      </c>
      <c r="H20" s="3">
        <f t="shared" si="7"/>
        <v>23</v>
      </c>
      <c r="I20" s="3">
        <f t="shared" si="8"/>
        <v>6</v>
      </c>
      <c r="J20" s="3">
        <f t="shared" si="9"/>
        <v>0</v>
      </c>
      <c r="K20">
        <f t="shared" si="10"/>
        <v>15</v>
      </c>
      <c r="L20" s="3">
        <f t="shared" si="11"/>
        <v>15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2368</v>
      </c>
      <c r="C22">
        <f t="shared" si="2"/>
        <v>1349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29</v>
      </c>
      <c r="H22" s="3">
        <f t="shared" si="7"/>
        <v>29</v>
      </c>
      <c r="I22" s="3">
        <f t="shared" si="8"/>
        <v>0</v>
      </c>
      <c r="J22" s="3">
        <f t="shared" si="9"/>
        <v>0</v>
      </c>
      <c r="K22">
        <f t="shared" si="10"/>
        <v>15</v>
      </c>
      <c r="L22" s="3">
        <f t="shared" si="11"/>
        <v>15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FC22">
        <v>90</v>
      </c>
      <c r="FD22" t="s">
        <v>110</v>
      </c>
      <c r="FG22">
        <v>89</v>
      </c>
      <c r="FH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1907</v>
      </c>
      <c r="C24">
        <f t="shared" si="2"/>
        <v>1215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25</v>
      </c>
      <c r="H24" s="3">
        <f t="shared" si="7"/>
        <v>22</v>
      </c>
      <c r="I24" s="3">
        <f t="shared" si="8"/>
        <v>3</v>
      </c>
      <c r="J24" s="3">
        <f t="shared" si="9"/>
        <v>0</v>
      </c>
      <c r="K24">
        <f t="shared" si="10"/>
        <v>14</v>
      </c>
      <c r="L24" s="3">
        <f t="shared" si="11"/>
        <v>14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FC24">
        <v>45</v>
      </c>
      <c r="FD24" t="s">
        <v>110</v>
      </c>
      <c r="FG24">
        <v>90</v>
      </c>
      <c r="FH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971</v>
      </c>
      <c r="C26">
        <f t="shared" si="2"/>
        <v>44</v>
      </c>
      <c r="D26">
        <f t="shared" si="3"/>
        <v>137</v>
      </c>
      <c r="E26">
        <f t="shared" si="4"/>
        <v>520</v>
      </c>
      <c r="F26">
        <f t="shared" si="5"/>
        <v>270</v>
      </c>
      <c r="G26">
        <f t="shared" si="6"/>
        <v>20</v>
      </c>
      <c r="H26" s="3">
        <f t="shared" si="7"/>
        <v>10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6</v>
      </c>
      <c r="T26" s="3">
        <f t="shared" si="19"/>
        <v>6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FD26" t="s">
        <v>139</v>
      </c>
      <c r="FH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PS26" s="3">
        <f t="shared" si="33"/>
        <v>14</v>
      </c>
      <c r="PT26" s="3">
        <f t="shared" si="34"/>
        <v>11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1387</v>
      </c>
      <c r="C27">
        <f t="shared" si="2"/>
        <v>892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16</v>
      </c>
      <c r="H27" s="3">
        <f t="shared" si="7"/>
        <v>16</v>
      </c>
      <c r="I27" s="3">
        <f t="shared" si="8"/>
        <v>0</v>
      </c>
      <c r="J27" s="3">
        <f t="shared" si="9"/>
        <v>0</v>
      </c>
      <c r="K27">
        <f t="shared" si="10"/>
        <v>10</v>
      </c>
      <c r="L27" s="3">
        <f t="shared" si="11"/>
        <v>10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1295</v>
      </c>
      <c r="C28">
        <f t="shared" si="2"/>
        <v>640</v>
      </c>
      <c r="D28">
        <f t="shared" si="3"/>
        <v>400</v>
      </c>
      <c r="E28">
        <f t="shared" si="4"/>
        <v>165</v>
      </c>
      <c r="F28">
        <f t="shared" si="5"/>
        <v>90</v>
      </c>
      <c r="G28">
        <f t="shared" si="6"/>
        <v>18</v>
      </c>
      <c r="H28" s="3">
        <f t="shared" si="7"/>
        <v>15</v>
      </c>
      <c r="I28" s="3">
        <f t="shared" si="8"/>
        <v>3</v>
      </c>
      <c r="J28" s="3">
        <f t="shared" si="9"/>
        <v>0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2</v>
      </c>
      <c r="T28" s="3">
        <f t="shared" si="19"/>
        <v>2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FD28" t="s">
        <v>139</v>
      </c>
      <c r="FH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PS28" s="3">
        <f t="shared" si="33"/>
        <v>4</v>
      </c>
      <c r="PT28" s="3">
        <f t="shared" si="34"/>
        <v>2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579</v>
      </c>
      <c r="C29">
        <f t="shared" si="2"/>
        <v>339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12</v>
      </c>
      <c r="H29" s="3">
        <f t="shared" si="7"/>
        <v>6</v>
      </c>
      <c r="I29" s="3">
        <f t="shared" si="8"/>
        <v>6</v>
      </c>
      <c r="J29" s="3">
        <f t="shared" si="9"/>
        <v>2</v>
      </c>
      <c r="K29">
        <f t="shared" si="10"/>
        <v>8</v>
      </c>
      <c r="L29" s="3">
        <f t="shared" si="11"/>
        <v>4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FC29">
        <v>21</v>
      </c>
      <c r="FD29" t="s">
        <v>136</v>
      </c>
      <c r="FG29">
        <v>90</v>
      </c>
      <c r="FH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298</v>
      </c>
      <c r="C30">
        <f t="shared" ref="C30" si="68">SUM(CY30,DC30,DG30,DK30,DO30,DS30,DW30,EA30,EE30,EI30,EM30,EQ30,EU30,EY30,FC30,FG30,FK30,FO30,FS30,FW30,GA30,GE30,GI30,GM30,GQ30,GU30)</f>
        <v>163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90</v>
      </c>
      <c r="F30">
        <f t="shared" si="5"/>
        <v>45</v>
      </c>
      <c r="G30">
        <f t="shared" ref="G30" si="71">SUM(H30:I30)</f>
        <v>6</v>
      </c>
      <c r="H30" s="3">
        <f t="shared" ref="H30" si="72">COUNTIF(AI30:PR30,"T")</f>
        <v>2</v>
      </c>
      <c r="I30" s="3">
        <f t="shared" ref="I30" si="73">COUNTIF(AI30:PR30,"R")</f>
        <v>4</v>
      </c>
      <c r="J30" s="3">
        <f t="shared" ref="J30" si="74">COUNTIF(AI30:PR30,"NR")</f>
        <v>0</v>
      </c>
      <c r="K30">
        <f t="shared" ref="K30" si="75">SUM(L30:M30)</f>
        <v>4</v>
      </c>
      <c r="L30" s="3">
        <f t="shared" ref="L30" si="76">COUNTIF(CY30:GX30,"T")</f>
        <v>1</v>
      </c>
      <c r="M30" s="3">
        <f t="shared" ref="M30" si="77">COUNTIF(CY30:GX30,"R")</f>
        <v>3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1</v>
      </c>
      <c r="T30" s="3">
        <f t="shared" ref="T30" si="84">COUNTIF(IU30:PR30,"T")</f>
        <v>1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FC30">
        <v>45</v>
      </c>
      <c r="FD30" t="s">
        <v>136</v>
      </c>
      <c r="FG30">
        <v>72</v>
      </c>
      <c r="FH30" t="s">
        <v>110</v>
      </c>
      <c r="KI30">
        <v>90</v>
      </c>
      <c r="KJ30" t="s">
        <v>110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151</v>
      </c>
      <c r="C31">
        <f t="shared" ref="C31" si="105">SUM(CY31,DC31,DG31,DK31,DO31,DS31,DW31,EA31,EE31,EI31,EM31,EQ31,EU31,EY31,FC31,FG31,FK31,FO31,FS31,FW31,GA31,GE31,GI31,GM31,GQ31,GU31)</f>
        <v>151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2</v>
      </c>
      <c r="H31" s="3">
        <f t="shared" ref="H31" si="110">COUNTIF(AI31:PR31,"T")</f>
        <v>2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2</v>
      </c>
      <c r="L31" s="3">
        <f t="shared" ref="L31" si="114">COUNTIF(CY31:GX31,"T")</f>
        <v>2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1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1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AA31">
        <f t="shared" ref="AA31" si="129">SUM(DA31,DE31,DI31,DM31,DQ31,DU31,DY31,EC31,EG31,EK31,EO31,ES31,EW31,FA31,FE31,FI31,FM31,FQ31,FU31,FY31,GC31,GG31,GK31,GO31,GS31,GW31)</f>
        <v>1</v>
      </c>
      <c r="AB31">
        <f t="shared" ref="AB31" si="130">SUM(DB31,DF31,DJ31,DN31,DR31,DV31,DZ31,ED31,EH31,EL31,EP31,ET31,EX31,FB31,FF31,FJ31,FN31,FR31,FV31,FZ31,GD31,GH31,GL31,GP31,GT31,GX31)</f>
        <v>0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PS31" s="3">
        <f t="shared" ref="PS31" si="137">COUNTIF(AI31:PR31,"HG")</f>
        <v>1</v>
      </c>
      <c r="PT31" s="3">
        <f t="shared" ref="PT31" si="138">COUNTIF(CY31:GX31,"HG")</f>
        <v>1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29</v>
      </c>
      <c r="C32">
        <f t="shared" ref="C32" si="143">SUM(CY32,DC32,DG32,DK32,DO32,DS32,DW32,EA32,EE32,EI32,EM32,EQ32,EU32,EY32,FC32,FG32,FK32,FO32,FS32,FW32,GA32,GE32,GI32,GM32,GQ32,GU32)</f>
        <v>29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2</v>
      </c>
      <c r="H32" s="3">
        <f t="shared" ref="H32" si="148">COUNTIF(AI32:PR32,"T")</f>
        <v>0</v>
      </c>
      <c r="I32" s="3">
        <f t="shared" ref="I32" si="149">COUNTIF(AI32:PR32,"R")</f>
        <v>2</v>
      </c>
      <c r="J32" s="3">
        <f t="shared" ref="J32" si="150">COUNTIF(AI32:PR32,"NR")</f>
        <v>0</v>
      </c>
      <c r="K32">
        <f t="shared" ref="K32" si="151">SUM(L32:M32)</f>
        <v>2</v>
      </c>
      <c r="L32" s="3">
        <f t="shared" ref="L32" si="152">COUNTIF(CY32:GX32,"T")</f>
        <v>0</v>
      </c>
      <c r="M32" s="3">
        <f t="shared" ref="M32" si="153">COUNTIF(CY32:GX32,"R")</f>
        <v>2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0</v>
      </c>
      <c r="T32" s="3">
        <f t="shared" ref="T32" si="160">COUNTIF(IU32:PR32,"T")</f>
        <v>0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AA32">
        <f t="shared" ref="AA32" si="167">SUM(DA32,DE32,DI32,DM32,DQ32,DU32,DY32,EC32,EG32,EK32,EO32,ES32,EW32,FA32,FE32,FI32,FM32,FQ32,FU32,FY32,GC32,GG32,GK32,GO32,GS32,GW32)</f>
        <v>0</v>
      </c>
      <c r="AB32">
        <f t="shared" ref="AB32" si="168">SUM(DB32,DF32,DJ32,DN32,DR32,DV32,DZ32,ED32,EH32,EL32,EP32,ET32,EX32,FB32,FF32,FJ32,FN32,FR32,FV32,FZ32,GD32,GH32,GL32,GP32,GT32,GX32)</f>
        <v>0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FC32">
        <v>21</v>
      </c>
      <c r="FD32" t="s">
        <v>136</v>
      </c>
      <c r="FG32">
        <v>8</v>
      </c>
      <c r="FH32" t="s">
        <v>136</v>
      </c>
      <c r="PS32" s="3">
        <f t="shared" ref="PS32" si="175">COUNTIF(AI32:PR32,"HG")</f>
        <v>0</v>
      </c>
      <c r="PT32" s="3">
        <f t="shared" ref="PT32" si="176">COUNTIF(CY32:GX32,"HG")</f>
        <v>0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2026-02-16T08:55:34Z</dcterms:modified>
</cp:coreProperties>
</file>