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470B2BC-61FE-1A47-BE96-009D304AF46D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<sst xmlns="http://schemas.openxmlformats.org/spreadsheetml/2006/main" count="1346" uniqueCount="152">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</sst>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KV1" activePane="topRight" state="frozen"/>
      <selection pane="topRight" activeCell="LC23" sqref="LC2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1815</v>
      </c>
      <c r="C2">
        <f>SUM(CY2,DC2,DG2,DK2,DO2,DS2,DW2,EA2,EE2,EI2,EM2,EQ2,EU2,EY2,FC2,FG2,FK2,FO2,FS2,FW2,GA2,GE2,GI2,GM2,GQ2,GU2)</f>
        <v>1530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22</v>
      </c>
      <c r="H2" s="3">
        <f>COUNTIF(AI2:PR2,"T")</f>
        <v>22</v>
      </c>
      <c r="I2" s="3">
        <f>COUNTIF(AI2:PR2,"R")</f>
        <v>0</v>
      </c>
      <c r="J2" s="3">
        <f>COUNTIF(AI2:PR2,"NR")</f>
        <v>6</v>
      </c>
      <c r="K2">
        <f>SUM(L2:M2)</f>
        <v>17</v>
      </c>
      <c r="L2" s="3">
        <f>COUNTIF(CY2:GX2,"T")</f>
        <v>17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810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720</v>
      </c>
      <c r="F3">
        <f t="shared" ref="F3:F30" si="5">SUM(AI3,AM3,AQ3,AU3,AY3,BC3,BG3,BK3,BO3,BS3,BW3,CA3,CE3,CI3,CM3,CQ3,CU3)</f>
        <v>90</v>
      </c>
      <c r="G3">
        <f t="shared" ref="G3:G29" si="6">SUM(H3:I3)</f>
        <v>10</v>
      </c>
      <c r="H3" s="3">
        <f t="shared" ref="H3:H29" si="7">COUNTIF(AI3:PR3,"T")</f>
        <v>8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8</v>
      </c>
      <c r="T3" s="3">
        <f t="shared" ref="T3:T29" si="19">COUNTIF(IU3:PR3,"T")</f>
        <v>8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P3" t="s">
        <v>139</v>
      </c>
      <c r="FT3" t="s">
        <v>139</v>
      </c>
      <c r="FX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ME3">
        <v>90</v>
      </c>
      <c r="MF3" t="s">
        <v>110</v>
      </c>
      <c r="PS3" s="3">
        <f t="shared" ref="PS3:PS29" si="33">COUNTIF(AI3:PR3,"HG")</f>
        <v>25</v>
      </c>
      <c r="PT3" s="3">
        <f t="shared" ref="PT3:PT29" si="34">COUNTIF(CY3:GX3,"HG")</f>
        <v>19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1425</v>
      </c>
      <c r="C4">
        <f t="shared" si="2"/>
        <v>180</v>
      </c>
      <c r="D4">
        <f t="shared" si="3"/>
        <v>630</v>
      </c>
      <c r="E4">
        <f t="shared" si="4"/>
        <v>360</v>
      </c>
      <c r="F4">
        <f t="shared" si="5"/>
        <v>255</v>
      </c>
      <c r="G4">
        <f t="shared" ref="G4" si="38">SUM(H4:I4)</f>
        <v>18</v>
      </c>
      <c r="H4" s="3">
        <f t="shared" ref="H4" si="39">COUNTIF(AI4:PR4,"T")</f>
        <v>15</v>
      </c>
      <c r="I4" s="3">
        <f t="shared" ref="I4" si="40">COUNTIF(AI4:PR4,"R")</f>
        <v>3</v>
      </c>
      <c r="J4" s="3">
        <f t="shared" ref="J4" si="41">COUNTIF(AI4:PR4,"NR")</f>
        <v>9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9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19"/>
        <v>4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P4" t="s">
        <v>139</v>
      </c>
      <c r="FT4" t="s">
        <v>138</v>
      </c>
      <c r="FX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PS4" s="3">
        <f t="shared" ref="PS4" si="63">COUNTIF(AI4:PR4,"HG")</f>
        <v>8</v>
      </c>
      <c r="PT4" s="3">
        <f t="shared" ref="PT4" si="64">COUNTIF(CY4:GX4,"HG")</f>
        <v>8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1563</v>
      </c>
      <c r="C5">
        <f t="shared" si="2"/>
        <v>953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23</v>
      </c>
      <c r="H5" s="3">
        <f t="shared" si="7"/>
        <v>19</v>
      </c>
      <c r="I5" s="3">
        <f t="shared" si="8"/>
        <v>4</v>
      </c>
      <c r="J5" s="3">
        <f t="shared" si="9"/>
        <v>0</v>
      </c>
      <c r="K5">
        <f t="shared" si="10"/>
        <v>13</v>
      </c>
      <c r="L5" s="3">
        <f t="shared" si="11"/>
        <v>11</v>
      </c>
      <c r="M5" s="3">
        <f t="shared" si="12"/>
        <v>2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516</v>
      </c>
      <c r="C6">
        <f t="shared" si="2"/>
        <v>0</v>
      </c>
      <c r="D6">
        <f t="shared" si="3"/>
        <v>0</v>
      </c>
      <c r="E6">
        <f t="shared" si="4"/>
        <v>246</v>
      </c>
      <c r="F6">
        <f t="shared" si="5"/>
        <v>270</v>
      </c>
      <c r="G6">
        <f t="shared" si="6"/>
        <v>9</v>
      </c>
      <c r="H6" s="3">
        <f t="shared" si="7"/>
        <v>5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3</v>
      </c>
      <c r="T6" s="3">
        <f t="shared" si="19"/>
        <v>3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P6" t="s">
        <v>139</v>
      </c>
      <c r="FT6" t="s">
        <v>139</v>
      </c>
      <c r="FX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PS6" s="3">
        <f t="shared" si="33"/>
        <v>25</v>
      </c>
      <c r="PT6" s="3">
        <f t="shared" si="34"/>
        <v>18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2028</v>
      </c>
      <c r="C7">
        <f t="shared" si="2"/>
        <v>1183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25</v>
      </c>
      <c r="H7" s="3">
        <f t="shared" si="7"/>
        <v>24</v>
      </c>
      <c r="I7" s="3">
        <f t="shared" si="8"/>
        <v>1</v>
      </c>
      <c r="J7" s="3">
        <f t="shared" si="9"/>
        <v>0</v>
      </c>
      <c r="K7">
        <f t="shared" si="10"/>
        <v>14</v>
      </c>
      <c r="L7" s="3">
        <f t="shared" si="11"/>
        <v>14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0</v>
      </c>
      <c r="Z7" s="4">
        <f t="shared" si="24"/>
        <v>0</v>
      </c>
      <c r="AA7">
        <f t="shared" si="25"/>
        <v>2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P8" t="s">
        <v>139</v>
      </c>
      <c r="FT8" t="s">
        <v>139</v>
      </c>
      <c r="FX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21</v>
      </c>
      <c r="PT8" s="3">
        <f t="shared" si="34"/>
        <v>17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2227</v>
      </c>
      <c r="C9">
        <f t="shared" si="2"/>
        <v>1471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30</v>
      </c>
      <c r="H9" s="3">
        <f t="shared" si="7"/>
        <v>25</v>
      </c>
      <c r="I9" s="3">
        <f t="shared" si="8"/>
        <v>5</v>
      </c>
      <c r="J9" s="3">
        <f t="shared" si="9"/>
        <v>0</v>
      </c>
      <c r="K9">
        <f t="shared" si="10"/>
        <v>18</v>
      </c>
      <c r="L9" s="3">
        <f t="shared" si="11"/>
        <v>16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1421</v>
      </c>
      <c r="C10">
        <f t="shared" si="2"/>
        <v>821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22</v>
      </c>
      <c r="H10" s="3">
        <f t="shared" si="7"/>
        <v>14</v>
      </c>
      <c r="I10" s="3">
        <f t="shared" si="8"/>
        <v>8</v>
      </c>
      <c r="J10" s="3">
        <f t="shared" si="9"/>
        <v>3</v>
      </c>
      <c r="K10">
        <f t="shared" si="10"/>
        <v>11</v>
      </c>
      <c r="L10" s="3">
        <f t="shared" si="11"/>
        <v>9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1215</v>
      </c>
      <c r="C11">
        <f t="shared" si="2"/>
        <v>311</v>
      </c>
      <c r="D11">
        <f t="shared" si="3"/>
        <v>209</v>
      </c>
      <c r="E11">
        <f t="shared" si="4"/>
        <v>450</v>
      </c>
      <c r="F11">
        <f t="shared" si="5"/>
        <v>245</v>
      </c>
      <c r="G11">
        <f t="shared" si="6"/>
        <v>22</v>
      </c>
      <c r="H11" s="3">
        <f t="shared" si="7"/>
        <v>17</v>
      </c>
      <c r="I11" s="3">
        <f t="shared" si="8"/>
        <v>5</v>
      </c>
      <c r="J11" s="3">
        <f t="shared" si="9"/>
        <v>3</v>
      </c>
      <c r="K11">
        <f t="shared" si="10"/>
        <v>8</v>
      </c>
      <c r="L11" s="3">
        <f t="shared" si="11"/>
        <v>4</v>
      </c>
      <c r="M11" s="3">
        <f t="shared" si="12"/>
        <v>4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5</v>
      </c>
      <c r="T11" s="3">
        <f t="shared" si="19"/>
        <v>5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P11" t="s">
        <v>139</v>
      </c>
      <c r="FT11" t="s">
        <v>139</v>
      </c>
      <c r="FW11">
        <v>1</v>
      </c>
      <c r="FX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PS11" s="3">
        <f t="shared" si="33"/>
        <v>12</v>
      </c>
      <c r="PT11" s="3">
        <f t="shared" si="34"/>
        <v>10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P13" t="s">
        <v>139</v>
      </c>
      <c r="FT13" t="s">
        <v>139</v>
      </c>
      <c r="FX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24</v>
      </c>
      <c r="PT13" s="3">
        <f t="shared" si="34"/>
        <v>17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1895</v>
      </c>
      <c r="C14">
        <f t="shared" si="2"/>
        <v>887</v>
      </c>
      <c r="D14">
        <f t="shared" si="3"/>
        <v>483</v>
      </c>
      <c r="E14">
        <f t="shared" si="4"/>
        <v>180</v>
      </c>
      <c r="F14">
        <f t="shared" si="5"/>
        <v>345</v>
      </c>
      <c r="G14">
        <f t="shared" si="6"/>
        <v>32</v>
      </c>
      <c r="H14" s="3">
        <f t="shared" si="7"/>
        <v>20</v>
      </c>
      <c r="I14" s="3">
        <f t="shared" si="8"/>
        <v>12</v>
      </c>
      <c r="J14" s="3">
        <f t="shared" si="9"/>
        <v>2</v>
      </c>
      <c r="K14">
        <f t="shared" si="10"/>
        <v>16</v>
      </c>
      <c r="L14" s="3">
        <f t="shared" si="11"/>
        <v>10</v>
      </c>
      <c r="M14" s="3">
        <f t="shared" si="12"/>
        <v>6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2</v>
      </c>
      <c r="T14" s="3">
        <f t="shared" si="19"/>
        <v>2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O14">
        <v>22</v>
      </c>
      <c r="FP14" t="s">
        <v>136</v>
      </c>
      <c r="FT14" t="s">
        <v>138</v>
      </c>
      <c r="FX14" t="s">
        <v>138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1426</v>
      </c>
      <c r="C15">
        <f t="shared" si="2"/>
        <v>689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31</v>
      </c>
      <c r="H15" s="3">
        <f t="shared" si="7"/>
        <v>17</v>
      </c>
      <c r="I15" s="3">
        <f t="shared" si="8"/>
        <v>14</v>
      </c>
      <c r="J15" s="3">
        <f t="shared" si="9"/>
        <v>0</v>
      </c>
      <c r="K15">
        <f t="shared" si="10"/>
        <v>17</v>
      </c>
      <c r="L15" s="3">
        <f t="shared" si="11"/>
        <v>7</v>
      </c>
      <c r="M15" s="3">
        <f t="shared" si="12"/>
        <v>10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2</v>
      </c>
      <c r="Z15" s="4">
        <f t="shared" si="24"/>
        <v>2</v>
      </c>
      <c r="AA15">
        <f t="shared" si="25"/>
        <v>3</v>
      </c>
      <c r="AB15">
        <f t="shared" si="26"/>
        <v>1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1384</v>
      </c>
      <c r="C18">
        <f t="shared" si="2"/>
        <v>750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28</v>
      </c>
      <c r="H18" s="3">
        <f t="shared" si="7"/>
        <v>17</v>
      </c>
      <c r="I18" s="3">
        <f t="shared" si="8"/>
        <v>11</v>
      </c>
      <c r="J18" s="3">
        <f t="shared" si="9"/>
        <v>0</v>
      </c>
      <c r="K18">
        <f t="shared" si="10"/>
        <v>14</v>
      </c>
      <c r="L18" s="3">
        <f t="shared" si="11"/>
        <v>9</v>
      </c>
      <c r="M18" s="3">
        <f t="shared" si="12"/>
        <v>5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3</v>
      </c>
      <c r="X18" s="4">
        <f t="shared" si="22"/>
        <v>3</v>
      </c>
      <c r="Y18" s="4">
        <f t="shared" si="23"/>
        <v>5</v>
      </c>
      <c r="Z18" s="4">
        <f t="shared" si="24"/>
        <v>2</v>
      </c>
      <c r="AA18">
        <f t="shared" si="25"/>
        <v>3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1138</v>
      </c>
      <c r="C19">
        <f t="shared" si="2"/>
        <v>352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25</v>
      </c>
      <c r="H19" s="3">
        <f t="shared" si="7"/>
        <v>11</v>
      </c>
      <c r="I19" s="3">
        <f t="shared" si="8"/>
        <v>14</v>
      </c>
      <c r="J19" s="3">
        <f t="shared" si="9"/>
        <v>2</v>
      </c>
      <c r="K19">
        <f t="shared" si="10"/>
        <v>10</v>
      </c>
      <c r="L19" s="3">
        <f t="shared" si="11"/>
        <v>3</v>
      </c>
      <c r="M19" s="3">
        <f t="shared" si="12"/>
        <v>7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P19" t="s">
        <v>139</v>
      </c>
      <c r="FT19" t="s">
        <v>139</v>
      </c>
      <c r="FW19">
        <v>11</v>
      </c>
      <c r="FX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8</v>
      </c>
      <c r="PT19" s="3">
        <f t="shared" si="34"/>
        <v>7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2187</v>
      </c>
      <c r="C20">
        <f t="shared" si="2"/>
        <v>1524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33</v>
      </c>
      <c r="H20" s="3">
        <f t="shared" si="7"/>
        <v>27</v>
      </c>
      <c r="I20" s="3">
        <f t="shared" si="8"/>
        <v>6</v>
      </c>
      <c r="J20" s="3">
        <f t="shared" si="9"/>
        <v>0</v>
      </c>
      <c r="K20">
        <f t="shared" si="10"/>
        <v>19</v>
      </c>
      <c r="L20" s="3">
        <f t="shared" si="11"/>
        <v>19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2726</v>
      </c>
      <c r="C22">
        <f t="shared" si="2"/>
        <v>1707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33</v>
      </c>
      <c r="H22" s="3">
        <f t="shared" si="7"/>
        <v>33</v>
      </c>
      <c r="I22" s="3">
        <f t="shared" si="8"/>
        <v>0</v>
      </c>
      <c r="J22" s="3">
        <f t="shared" si="9"/>
        <v>0</v>
      </c>
      <c r="K22">
        <f t="shared" si="10"/>
        <v>19</v>
      </c>
      <c r="L22" s="3">
        <f t="shared" si="11"/>
        <v>19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2177</v>
      </c>
      <c r="C24">
        <f t="shared" si="2"/>
        <v>1485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28</v>
      </c>
      <c r="H24" s="3">
        <f t="shared" si="7"/>
        <v>25</v>
      </c>
      <c r="I24" s="3">
        <f t="shared" si="8"/>
        <v>3</v>
      </c>
      <c r="J24" s="3">
        <f t="shared" si="9"/>
        <v>1</v>
      </c>
      <c r="K24">
        <f t="shared" si="10"/>
        <v>17</v>
      </c>
      <c r="L24" s="3">
        <f t="shared" si="11"/>
        <v>17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1031</v>
      </c>
      <c r="C26">
        <f t="shared" si="2"/>
        <v>44</v>
      </c>
      <c r="D26">
        <f t="shared" si="3"/>
        <v>137</v>
      </c>
      <c r="E26">
        <f t="shared" si="4"/>
        <v>580</v>
      </c>
      <c r="F26">
        <f t="shared" si="5"/>
        <v>270</v>
      </c>
      <c r="G26">
        <f t="shared" si="6"/>
        <v>21</v>
      </c>
      <c r="H26" s="3">
        <f t="shared" si="7"/>
        <v>11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7</v>
      </c>
      <c r="T26" s="3">
        <f t="shared" si="19"/>
        <v>7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P26" t="s">
        <v>139</v>
      </c>
      <c r="FT26" t="s">
        <v>139</v>
      </c>
      <c r="FX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PS26" s="3">
        <f t="shared" si="33"/>
        <v>18</v>
      </c>
      <c r="PT26" s="3">
        <f t="shared" si="34"/>
        <v>15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1747</v>
      </c>
      <c r="C27">
        <f t="shared" si="2"/>
        <v>1252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20</v>
      </c>
      <c r="H27" s="3">
        <f t="shared" si="7"/>
        <v>20</v>
      </c>
      <c r="I27" s="3">
        <f t="shared" si="8"/>
        <v>0</v>
      </c>
      <c r="J27" s="3">
        <f t="shared" si="9"/>
        <v>0</v>
      </c>
      <c r="K27">
        <f t="shared" si="10"/>
        <v>14</v>
      </c>
      <c r="L27" s="3">
        <f t="shared" si="11"/>
        <v>14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898</v>
      </c>
      <c r="C29">
        <f t="shared" si="2"/>
        <v>658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16</v>
      </c>
      <c r="H29" s="3">
        <f t="shared" si="7"/>
        <v>10</v>
      </c>
      <c r="I29" s="3">
        <f t="shared" si="8"/>
        <v>6</v>
      </c>
      <c r="J29" s="3">
        <f t="shared" si="9"/>
        <v>2</v>
      </c>
      <c r="K29">
        <f t="shared" si="10"/>
        <v>12</v>
      </c>
      <c r="L29" s="3">
        <f t="shared" si="11"/>
        <v>8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479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10</v>
      </c>
      <c r="H30" s="3">
        <f t="shared" ref="H30" si="72">COUNTIF(AI30:PR30,"T")</f>
        <v>5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420</v>
      </c>
      <c r="C31">
        <f t="shared" ref="C31" si="105">SUM(CY31,DC31,DG31,DK31,DO31,DS31,DW31,EA31,EE31,EI31,EM31,EQ31,EU31,EY31,FC31,FG31,FK31,FO31,FS31,FW31,GA31,GE31,GI31,GM31,GQ31,GU31)</f>
        <v>420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5</v>
      </c>
      <c r="H31" s="3">
        <f t="shared" ref="H31" si="110">COUNTIF(AI31:PR31,"T")</f>
        <v>5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5</v>
      </c>
      <c r="L31" s="3">
        <f t="shared" ref="L31" si="114">COUNTIF(CY31:GX31,"T")</f>
        <v>5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AA31">
        <f t="shared" ref="AA31" si="129">SUM(DA31,DE31,DI31,DM31,DQ31,DU31,DY31,EC31,EG31,EK31,EO31,ES31,EW31,FA31,FE31,FI31,FM31,FQ31,FU31,FY31,GC31,GG31,GK31,GO31,GS31,GW31)</f>
        <v>3</v>
      </c>
      <c r="AB31">
        <f t="shared" ref="AB31" si="130">SUM(DB31,DF31,DJ31,DN31,DR31,DV31,DZ31,ED31,EH31,EL31,EP31,ET31,EX31,FB31,FF31,FJ31,FN31,FR31,FV31,FZ31,GD31,GH31,GL31,GP31,GT31,GX31)</f>
        <v>1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285</v>
      </c>
      <c r="C32">
        <f t="shared" ref="C32" si="143">SUM(CY32,DC32,DG32,DK32,DO32,DS32,DW32,EA32,EE32,EI32,EM32,EQ32,EU32,EY32,FC32,FG32,FK32,FO32,FS32,FW32,GA32,GE32,GI32,GM32,GQ32,GU32)</f>
        <v>105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7</v>
      </c>
      <c r="H32" s="3">
        <f t="shared" ref="H32" si="148">COUNTIF(AI32:PR32,"T")</f>
        <v>2</v>
      </c>
      <c r="I32" s="3">
        <f t="shared" ref="I32" si="149">COUNTIF(AI32:PR32,"R")</f>
        <v>5</v>
      </c>
      <c r="J32" s="3">
        <f t="shared" ref="J32" si="150">COUNTIF(AI32:PR32,"NR")</f>
        <v>0</v>
      </c>
      <c r="K32">
        <f t="shared" ref="K32" si="151">SUM(L32:M32)</f>
        <v>5</v>
      </c>
      <c r="L32" s="3">
        <f t="shared" ref="L32" si="152">COUNTIF(CY32:GX32,"T")</f>
        <v>0</v>
      </c>
      <c r="M32" s="3">
        <f t="shared" ref="M32" si="153">COUNTIF(CY32:GX32,"R")</f>
        <v>5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1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2026-03-23T13:30:06Z</dcterms:modified>
</cp:coreProperties>
</file>