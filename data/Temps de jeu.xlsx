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3AC71A93-3E1D-1D4E-92A5-F2D7A6CAD651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S8" i="1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O18" i="1" l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<sst xmlns="http://schemas.openxmlformats.org/spreadsheetml/2006/main" count="1092" uniqueCount="150">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</sst>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0"/>
  <sheetViews>
    <sheetView tabSelected="1" workbookViewId="0">
      <pane xSplit="1" topLeftCell="R1" activePane="topRight" state="frozen"/>
      <selection pane="topRight" activeCell="U23" sqref="U23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1185</v>
      </c>
      <c r="C2">
        <f>SUM(CY2,DC2,DG2,DK2,DO2,DS2,DW2,EA2,EE2,EI2,EM2,EQ2,EU2,EY2,FC2,FG2,FK2,FO2,FS2,FW2,GA2,GE2,GI2,GM2,GQ2,GU2)</f>
        <v>900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15</v>
      </c>
      <c r="H2" s="3">
        <f>COUNTIF(AI2:PR2,"T")</f>
        <v>15</v>
      </c>
      <c r="I2" s="3">
        <f>COUNTIF(AI2:PR2,"R")</f>
        <v>0</v>
      </c>
      <c r="J2" s="3">
        <f>COUNTIF(AI2:PR2,"NR")</f>
        <v>6</v>
      </c>
      <c r="K2">
        <f>SUM(L2:M2)</f>
        <v>10</v>
      </c>
      <c r="L2" s="3">
        <f>COUNTIF(CY2:GX2,"T")</f>
        <v>10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1</v>
      </c>
      <c r="PT2" s="3">
        <f>COUNTIF(CY2:GX2,"HG")</f>
        <v>0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450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360</v>
      </c>
      <c r="F3">
        <f t="shared" ref="F3:F30" si="5">SUM(AI3,AM3,AQ3,AU3,AY3,BC3,BG3,BK3,BO3,BS3,BW3,CA3,CE3,CI3,CM3,CQ3,CU3)</f>
        <v>90</v>
      </c>
      <c r="G3">
        <f t="shared" ref="G3:G29" si="6">SUM(H3:I3)</f>
        <v>6</v>
      </c>
      <c r="H3" s="3">
        <f t="shared" ref="H3:H29" si="7">COUNTIF(AI3:PR3,"T")</f>
        <v>4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4</v>
      </c>
      <c r="T3" s="3">
        <f t="shared" ref="T3:T29" si="19">COUNTIF(IU3:PR3,"T")</f>
        <v>4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ME3">
        <v>90</v>
      </c>
      <c r="MF3" t="s">
        <v>110</v>
      </c>
      <c r="PS3" s="3">
        <f t="shared" ref="PS3:PS29" si="33">COUNTIF(AI3:PR3,"HG")</f>
        <v>16</v>
      </c>
      <c r="PT3" s="3">
        <f t="shared" ref="PT3:PT29" si="34">COUNTIF(CY3:GX3,"HG")</f>
        <v>10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1155</v>
      </c>
      <c r="C4">
        <f t="shared" si="2"/>
        <v>0</v>
      </c>
      <c r="D4">
        <f t="shared" si="3"/>
        <v>630</v>
      </c>
      <c r="E4">
        <f t="shared" si="4"/>
        <v>270</v>
      </c>
      <c r="F4">
        <f t="shared" si="5"/>
        <v>255</v>
      </c>
      <c r="G4">
        <f t="shared" ref="G4" si="38">SUM(H4:I4)</f>
        <v>15</v>
      </c>
      <c r="H4" s="3">
        <f t="shared" ref="H4" si="39">COUNTIF(AI4:PR4,"T")</f>
        <v>12</v>
      </c>
      <c r="I4" s="3">
        <f t="shared" ref="I4" si="40">COUNTIF(AI4:PR4,"R")</f>
        <v>3</v>
      </c>
      <c r="J4" s="3">
        <f t="shared" ref="J4" si="41">COUNTIF(AI4:PR4,"NR")</f>
        <v>6</v>
      </c>
      <c r="K4">
        <f t="shared" ref="K4" si="42">SUM(L4:M4)</f>
        <v>0</v>
      </c>
      <c r="L4" s="3">
        <f t="shared" ref="L4" si="43">COUNTIF(CY4:GX4,"T")</f>
        <v>0</v>
      </c>
      <c r="M4" s="3">
        <f t="shared" ref="M4" si="44">COUNTIF(CY4:GX4,"R")</f>
        <v>0</v>
      </c>
      <c r="N4" s="3">
        <f t="shared" ref="N4" si="45">COUNTIF(CY4:GX4,"NR")</f>
        <v>6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3</v>
      </c>
      <c r="T4" s="3">
        <f t="shared" si="19"/>
        <v>3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PS4" s="3">
        <f t="shared" ref="PS4" si="63">COUNTIF(AI4:PR4,"HG")</f>
        <v>4</v>
      </c>
      <c r="PT4" s="3">
        <f t="shared" ref="PT4" si="64">COUNTIF(CY4:GX4,"HG")</f>
        <v>4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931</v>
      </c>
      <c r="C5">
        <f t="shared" si="2"/>
        <v>321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14</v>
      </c>
      <c r="H5" s="3">
        <f t="shared" si="7"/>
        <v>12</v>
      </c>
      <c r="I5" s="3">
        <f t="shared" si="8"/>
        <v>2</v>
      </c>
      <c r="J5" s="3">
        <f t="shared" si="9"/>
        <v>0</v>
      </c>
      <c r="K5">
        <f t="shared" si="10"/>
        <v>4</v>
      </c>
      <c r="L5" s="3">
        <f t="shared" si="11"/>
        <v>4</v>
      </c>
      <c r="M5" s="3">
        <f t="shared" si="12"/>
        <v>0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450</v>
      </c>
      <c r="C6">
        <f t="shared" si="2"/>
        <v>0</v>
      </c>
      <c r="D6">
        <f t="shared" si="3"/>
        <v>0</v>
      </c>
      <c r="E6">
        <f t="shared" si="4"/>
        <v>180</v>
      </c>
      <c r="F6">
        <f t="shared" si="5"/>
        <v>270</v>
      </c>
      <c r="G6">
        <f t="shared" si="6"/>
        <v>8</v>
      </c>
      <c r="H6" s="3">
        <f t="shared" si="7"/>
        <v>4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2</v>
      </c>
      <c r="T6" s="3">
        <f t="shared" si="19"/>
        <v>2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PS6" s="3">
        <f t="shared" si="33"/>
        <v>16</v>
      </c>
      <c r="PT6" s="3">
        <f t="shared" si="34"/>
        <v>9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1444</v>
      </c>
      <c r="C7">
        <f t="shared" si="2"/>
        <v>599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18</v>
      </c>
      <c r="H7" s="3">
        <f t="shared" si="7"/>
        <v>17</v>
      </c>
      <c r="I7" s="3">
        <f t="shared" si="8"/>
        <v>1</v>
      </c>
      <c r="J7" s="3">
        <f t="shared" si="9"/>
        <v>0</v>
      </c>
      <c r="K7">
        <f t="shared" si="10"/>
        <v>7</v>
      </c>
      <c r="L7" s="3">
        <f t="shared" si="11"/>
        <v>7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1</v>
      </c>
      <c r="X7" s="4">
        <f t="shared" si="22"/>
        <v>1</v>
      </c>
      <c r="Y7" s="4">
        <f t="shared" si="23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3</v>
      </c>
      <c r="PT7" s="3">
        <f t="shared" si="34"/>
        <v>3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869</v>
      </c>
      <c r="C8">
        <f t="shared" si="2"/>
        <v>0</v>
      </c>
      <c r="D8">
        <f t="shared" si="3"/>
        <v>24</v>
      </c>
      <c r="E8">
        <f t="shared" si="4"/>
        <v>630</v>
      </c>
      <c r="F8">
        <f t="shared" si="5"/>
        <v>215</v>
      </c>
      <c r="G8">
        <f t="shared" si="6"/>
        <v>15</v>
      </c>
      <c r="H8" s="3">
        <f t="shared" si="7"/>
        <v>7</v>
      </c>
      <c r="I8" s="3">
        <f t="shared" si="8"/>
        <v>8</v>
      </c>
      <c r="J8" s="3">
        <f t="shared" si="9"/>
        <v>2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1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7</v>
      </c>
      <c r="T8" s="3">
        <f t="shared" si="19"/>
        <v>7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PS8" s="3">
        <f t="shared" si="33"/>
        <v>13</v>
      </c>
      <c r="PT8" s="3">
        <f t="shared" si="34"/>
        <v>9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1642</v>
      </c>
      <c r="C9">
        <f t="shared" si="2"/>
        <v>886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22</v>
      </c>
      <c r="H9" s="3">
        <f t="shared" si="7"/>
        <v>19</v>
      </c>
      <c r="I9" s="3">
        <f t="shared" si="8"/>
        <v>3</v>
      </c>
      <c r="J9" s="3">
        <f t="shared" si="9"/>
        <v>0</v>
      </c>
      <c r="K9">
        <f t="shared" si="10"/>
        <v>10</v>
      </c>
      <c r="L9" s="3">
        <f t="shared" si="11"/>
        <v>10</v>
      </c>
      <c r="M9" s="3">
        <f t="shared" si="12"/>
        <v>0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0</v>
      </c>
      <c r="X9" s="4">
        <f t="shared" si="22"/>
        <v>0</v>
      </c>
      <c r="Y9" s="4">
        <f t="shared" si="23"/>
        <v>3</v>
      </c>
      <c r="Z9" s="4">
        <f t="shared" si="24"/>
        <v>2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1</v>
      </c>
      <c r="PT9" s="3">
        <f t="shared" si="34"/>
        <v>0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735</v>
      </c>
      <c r="C10">
        <f t="shared" si="2"/>
        <v>135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14</v>
      </c>
      <c r="H10" s="3">
        <f t="shared" si="7"/>
        <v>6</v>
      </c>
      <c r="I10" s="3">
        <f t="shared" si="8"/>
        <v>8</v>
      </c>
      <c r="J10" s="3">
        <f t="shared" si="9"/>
        <v>3</v>
      </c>
      <c r="K10">
        <f t="shared" si="10"/>
        <v>3</v>
      </c>
      <c r="L10" s="3">
        <f t="shared" si="11"/>
        <v>1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8</v>
      </c>
      <c r="PT10" s="3">
        <f t="shared" si="34"/>
        <v>5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944</v>
      </c>
      <c r="C11">
        <f t="shared" si="2"/>
        <v>310</v>
      </c>
      <c r="D11">
        <f t="shared" si="3"/>
        <v>209</v>
      </c>
      <c r="E11">
        <f t="shared" si="4"/>
        <v>180</v>
      </c>
      <c r="F11">
        <f t="shared" si="5"/>
        <v>245</v>
      </c>
      <c r="G11">
        <f t="shared" si="6"/>
        <v>18</v>
      </c>
      <c r="H11" s="3">
        <f t="shared" si="7"/>
        <v>14</v>
      </c>
      <c r="I11" s="3">
        <f t="shared" si="8"/>
        <v>4</v>
      </c>
      <c r="J11" s="3">
        <f t="shared" si="9"/>
        <v>3</v>
      </c>
      <c r="K11">
        <f t="shared" si="10"/>
        <v>7</v>
      </c>
      <c r="L11" s="3">
        <f t="shared" si="11"/>
        <v>4</v>
      </c>
      <c r="M11" s="3">
        <f t="shared" si="12"/>
        <v>3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2</v>
      </c>
      <c r="T11" s="3">
        <f t="shared" si="19"/>
        <v>2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PS11" s="3">
        <f t="shared" si="33"/>
        <v>4</v>
      </c>
      <c r="PT11" s="3">
        <f t="shared" si="34"/>
        <v>2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15</v>
      </c>
      <c r="PT13" s="3">
        <f t="shared" si="34"/>
        <v>8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1536</v>
      </c>
      <c r="C14">
        <f t="shared" si="2"/>
        <v>708</v>
      </c>
      <c r="D14">
        <f t="shared" si="3"/>
        <v>483</v>
      </c>
      <c r="E14">
        <f t="shared" si="4"/>
        <v>0</v>
      </c>
      <c r="F14">
        <f t="shared" si="5"/>
        <v>345</v>
      </c>
      <c r="G14">
        <f t="shared" si="6"/>
        <v>23</v>
      </c>
      <c r="H14" s="3">
        <f t="shared" si="7"/>
        <v>16</v>
      </c>
      <c r="I14" s="3">
        <f t="shared" si="8"/>
        <v>7</v>
      </c>
      <c r="J14" s="3">
        <f t="shared" si="9"/>
        <v>0</v>
      </c>
      <c r="K14">
        <f t="shared" si="10"/>
        <v>9</v>
      </c>
      <c r="L14" s="3">
        <f t="shared" si="11"/>
        <v>8</v>
      </c>
      <c r="M14" s="3">
        <f t="shared" si="12"/>
        <v>1</v>
      </c>
      <c r="N14" s="3">
        <f t="shared" si="13"/>
        <v>0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0</v>
      </c>
      <c r="T14" s="3">
        <f t="shared" si="19"/>
        <v>0</v>
      </c>
      <c r="U14" s="3">
        <f t="shared" si="20"/>
        <v>0</v>
      </c>
      <c r="V14" s="3">
        <f t="shared" si="0"/>
        <v>0</v>
      </c>
      <c r="W14" s="3">
        <f t="shared" si="21"/>
        <v>3</v>
      </c>
      <c r="X14" s="4">
        <f t="shared" si="22"/>
        <v>3</v>
      </c>
      <c r="Y14" s="4">
        <f t="shared" si="23"/>
        <v>4</v>
      </c>
      <c r="Z14" s="4">
        <f t="shared" si="24"/>
        <v>4</v>
      </c>
      <c r="AA14">
        <f t="shared" si="25"/>
        <v>2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1148</v>
      </c>
      <c r="C15">
        <f t="shared" si="2"/>
        <v>501</v>
      </c>
      <c r="D15">
        <f t="shared" si="3"/>
        <v>197</v>
      </c>
      <c r="E15">
        <f t="shared" si="4"/>
        <v>90</v>
      </c>
      <c r="F15">
        <f t="shared" si="5"/>
        <v>360</v>
      </c>
      <c r="G15">
        <f t="shared" si="6"/>
        <v>23</v>
      </c>
      <c r="H15" s="3">
        <f t="shared" si="7"/>
        <v>14</v>
      </c>
      <c r="I15" s="3">
        <f t="shared" si="8"/>
        <v>9</v>
      </c>
      <c r="J15" s="3">
        <f t="shared" si="9"/>
        <v>0</v>
      </c>
      <c r="K15">
        <f t="shared" si="10"/>
        <v>10</v>
      </c>
      <c r="L15" s="3">
        <f t="shared" si="11"/>
        <v>5</v>
      </c>
      <c r="M15" s="3">
        <f t="shared" si="12"/>
        <v>5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1</v>
      </c>
      <c r="T15" s="3">
        <f t="shared" si="19"/>
        <v>1</v>
      </c>
      <c r="U15" s="3">
        <f t="shared" si="20"/>
        <v>0</v>
      </c>
      <c r="V15" s="3">
        <f t="shared" si="0"/>
        <v>0</v>
      </c>
      <c r="W15" s="3">
        <f t="shared" si="21"/>
        <v>4</v>
      </c>
      <c r="X15" s="4">
        <f t="shared" si="22"/>
        <v>2</v>
      </c>
      <c r="Y15" s="4">
        <f t="shared" si="23"/>
        <v>1</v>
      </c>
      <c r="Z15" s="4">
        <f t="shared" si="24"/>
        <v>1</v>
      </c>
      <c r="AA15">
        <f t="shared" si="25"/>
        <v>2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PS15" s="3">
        <f t="shared" si="33"/>
        <v>2</v>
      </c>
      <c r="PT15" s="3">
        <f t="shared" si="34"/>
        <v>0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1555</v>
      </c>
      <c r="C16">
        <f t="shared" si="2"/>
        <v>863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22</v>
      </c>
      <c r="H16" s="3">
        <f t="shared" si="7"/>
        <v>18</v>
      </c>
      <c r="I16" s="3">
        <f t="shared" si="8"/>
        <v>4</v>
      </c>
      <c r="J16" s="3">
        <f t="shared" si="9"/>
        <v>0</v>
      </c>
      <c r="K16">
        <f t="shared" si="10"/>
        <v>10</v>
      </c>
      <c r="L16" s="3">
        <f t="shared" si="11"/>
        <v>10</v>
      </c>
      <c r="M16" s="3">
        <f t="shared" si="12"/>
        <v>0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10</v>
      </c>
      <c r="X16" s="4">
        <f t="shared" si="22"/>
        <v>10</v>
      </c>
      <c r="Y16" s="4">
        <f t="shared" si="23"/>
        <v>8</v>
      </c>
      <c r="Z16" s="4">
        <f t="shared" si="24"/>
        <v>7</v>
      </c>
      <c r="AA16">
        <f t="shared" si="25"/>
        <v>6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495</v>
      </c>
      <c r="C17">
        <f t="shared" si="2"/>
        <v>50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15</v>
      </c>
      <c r="H17" s="3">
        <f t="shared" si="7"/>
        <v>6</v>
      </c>
      <c r="I17" s="3">
        <f t="shared" si="8"/>
        <v>9</v>
      </c>
      <c r="J17" s="3">
        <f t="shared" si="9"/>
        <v>0</v>
      </c>
      <c r="K17">
        <f t="shared" si="10"/>
        <v>5</v>
      </c>
      <c r="L17" s="3">
        <f t="shared" si="11"/>
        <v>0</v>
      </c>
      <c r="M17" s="3">
        <f t="shared" si="12"/>
        <v>5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7</v>
      </c>
      <c r="PT17" s="3">
        <f t="shared" si="34"/>
        <v>5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1013</v>
      </c>
      <c r="C18">
        <f t="shared" si="2"/>
        <v>379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22</v>
      </c>
      <c r="H18" s="3">
        <f t="shared" si="7"/>
        <v>13</v>
      </c>
      <c r="I18" s="3">
        <f t="shared" si="8"/>
        <v>9</v>
      </c>
      <c r="J18" s="3">
        <f t="shared" si="9"/>
        <v>0</v>
      </c>
      <c r="K18">
        <f t="shared" si="10"/>
        <v>8</v>
      </c>
      <c r="L18" s="3">
        <f t="shared" si="11"/>
        <v>5</v>
      </c>
      <c r="M18" s="3">
        <f t="shared" si="12"/>
        <v>3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2</v>
      </c>
      <c r="X18" s="4">
        <f t="shared" si="22"/>
        <v>2</v>
      </c>
      <c r="Y18" s="4">
        <f t="shared" si="23"/>
        <v>5</v>
      </c>
      <c r="Z18" s="4">
        <f t="shared" si="24"/>
        <v>2</v>
      </c>
      <c r="AA18">
        <f t="shared" si="25"/>
        <v>2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2</v>
      </c>
      <c r="PT18" s="3">
        <f t="shared" si="34"/>
        <v>2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821</v>
      </c>
      <c r="C19">
        <f t="shared" si="2"/>
        <v>187</v>
      </c>
      <c r="D19">
        <f t="shared" si="3"/>
        <v>214</v>
      </c>
      <c r="E19">
        <f t="shared" si="4"/>
        <v>180</v>
      </c>
      <c r="F19">
        <f t="shared" si="5"/>
        <v>240</v>
      </c>
      <c r="G19">
        <f t="shared" si="6"/>
        <v>20</v>
      </c>
      <c r="H19" s="3">
        <f t="shared" si="7"/>
        <v>7</v>
      </c>
      <c r="I19" s="3">
        <f t="shared" si="8"/>
        <v>13</v>
      </c>
      <c r="J19" s="3">
        <f t="shared" si="9"/>
        <v>0</v>
      </c>
      <c r="K19">
        <f t="shared" si="10"/>
        <v>7</v>
      </c>
      <c r="L19" s="3">
        <f t="shared" si="11"/>
        <v>1</v>
      </c>
      <c r="M19" s="3">
        <f t="shared" si="12"/>
        <v>6</v>
      </c>
      <c r="N19" s="3">
        <f t="shared" si="13"/>
        <v>0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2</v>
      </c>
      <c r="T19" s="3">
        <f t="shared" si="19"/>
        <v>2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0</v>
      </c>
      <c r="Z19" s="4">
        <f t="shared" si="24"/>
        <v>0</v>
      </c>
      <c r="AA19">
        <f t="shared" si="25"/>
        <v>0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PS19" s="3">
        <f t="shared" si="33"/>
        <v>4</v>
      </c>
      <c r="PT19" s="3">
        <f t="shared" si="34"/>
        <v>3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1455</v>
      </c>
      <c r="C20">
        <f t="shared" si="2"/>
        <v>792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24</v>
      </c>
      <c r="H20" s="3">
        <f t="shared" si="7"/>
        <v>18</v>
      </c>
      <c r="I20" s="3">
        <f t="shared" si="8"/>
        <v>6</v>
      </c>
      <c r="J20" s="3">
        <f t="shared" si="9"/>
        <v>0</v>
      </c>
      <c r="K20">
        <f t="shared" si="10"/>
        <v>10</v>
      </c>
      <c r="L20" s="3">
        <f t="shared" si="11"/>
        <v>10</v>
      </c>
      <c r="M20" s="3">
        <f t="shared" si="12"/>
        <v>0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13</v>
      </c>
      <c r="X20" s="4">
        <f t="shared" si="22"/>
        <v>11</v>
      </c>
      <c r="Y20" s="4">
        <f t="shared" si="23"/>
        <v>4</v>
      </c>
      <c r="Z20" s="4">
        <f t="shared" si="24"/>
        <v>4</v>
      </c>
      <c r="AA20">
        <f t="shared" si="25"/>
        <v>4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0</v>
      </c>
      <c r="Z21" s="4">
        <f t="shared" si="24"/>
        <v>0</v>
      </c>
      <c r="AA21">
        <f t="shared" si="25"/>
        <v>0</v>
      </c>
      <c r="AB21">
        <f t="shared" si="26"/>
        <v>0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1919</v>
      </c>
      <c r="C22">
        <f t="shared" si="2"/>
        <v>900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24</v>
      </c>
      <c r="H22" s="3">
        <f t="shared" si="7"/>
        <v>24</v>
      </c>
      <c r="I22" s="3">
        <f t="shared" si="8"/>
        <v>0</v>
      </c>
      <c r="J22" s="3">
        <f t="shared" si="9"/>
        <v>0</v>
      </c>
      <c r="K22">
        <f t="shared" si="10"/>
        <v>10</v>
      </c>
      <c r="L22" s="3">
        <f t="shared" si="11"/>
        <v>10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4</v>
      </c>
      <c r="Z22" s="4">
        <f t="shared" si="24"/>
        <v>4</v>
      </c>
      <c r="AA22">
        <f t="shared" si="25"/>
        <v>2</v>
      </c>
      <c r="AB22">
        <f t="shared" si="26"/>
        <v>3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1502</v>
      </c>
      <c r="C24">
        <f t="shared" si="2"/>
        <v>810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20</v>
      </c>
      <c r="H24" s="3">
        <f t="shared" si="7"/>
        <v>17</v>
      </c>
      <c r="I24" s="3">
        <f t="shared" si="8"/>
        <v>3</v>
      </c>
      <c r="J24" s="3">
        <f t="shared" si="9"/>
        <v>0</v>
      </c>
      <c r="K24">
        <f t="shared" si="10"/>
        <v>9</v>
      </c>
      <c r="L24" s="3">
        <f t="shared" si="11"/>
        <v>9</v>
      </c>
      <c r="M24" s="3">
        <f t="shared" si="12"/>
        <v>0</v>
      </c>
      <c r="N24" s="3">
        <f t="shared" si="13"/>
        <v>0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6</v>
      </c>
      <c r="PT25" s="3">
        <f t="shared" si="34"/>
        <v>4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881</v>
      </c>
      <c r="C26">
        <f t="shared" si="2"/>
        <v>44</v>
      </c>
      <c r="D26">
        <f t="shared" si="3"/>
        <v>137</v>
      </c>
      <c r="E26">
        <f t="shared" si="4"/>
        <v>430</v>
      </c>
      <c r="F26">
        <f t="shared" si="5"/>
        <v>270</v>
      </c>
      <c r="G26">
        <f t="shared" si="6"/>
        <v>19</v>
      </c>
      <c r="H26" s="3">
        <f t="shared" si="7"/>
        <v>9</v>
      </c>
      <c r="I26" s="3">
        <f t="shared" si="8"/>
        <v>10</v>
      </c>
      <c r="J26" s="3">
        <f t="shared" si="9"/>
        <v>1</v>
      </c>
      <c r="K26">
        <f t="shared" si="10"/>
        <v>4</v>
      </c>
      <c r="L26" s="3">
        <f t="shared" si="11"/>
        <v>1</v>
      </c>
      <c r="M26" s="3">
        <f t="shared" si="12"/>
        <v>3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5</v>
      </c>
      <c r="T26" s="3">
        <f t="shared" si="19"/>
        <v>5</v>
      </c>
      <c r="U26" s="3">
        <f t="shared" si="20"/>
        <v>0</v>
      </c>
      <c r="V26" s="3">
        <f t="shared" si="0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PS26" s="3">
        <f t="shared" si="33"/>
        <v>9</v>
      </c>
      <c r="PT26" s="3">
        <f t="shared" si="34"/>
        <v>6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945</v>
      </c>
      <c r="C27">
        <f t="shared" si="2"/>
        <v>450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11</v>
      </c>
      <c r="H27" s="3">
        <f t="shared" si="7"/>
        <v>11</v>
      </c>
      <c r="I27" s="3">
        <f t="shared" si="8"/>
        <v>0</v>
      </c>
      <c r="J27" s="3">
        <f t="shared" si="9"/>
        <v>0</v>
      </c>
      <c r="K27">
        <f t="shared" si="10"/>
        <v>5</v>
      </c>
      <c r="L27" s="3">
        <f t="shared" si="11"/>
        <v>5</v>
      </c>
      <c r="M27" s="3">
        <f t="shared" si="12"/>
        <v>0</v>
      </c>
      <c r="N27" s="3">
        <f t="shared" si="13"/>
        <v>0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1089</v>
      </c>
      <c r="C28">
        <f t="shared" si="2"/>
        <v>509</v>
      </c>
      <c r="D28">
        <f t="shared" si="3"/>
        <v>400</v>
      </c>
      <c r="E28">
        <f t="shared" si="4"/>
        <v>90</v>
      </c>
      <c r="F28">
        <f t="shared" si="5"/>
        <v>90</v>
      </c>
      <c r="G28">
        <f t="shared" si="6"/>
        <v>14</v>
      </c>
      <c r="H28" s="3">
        <f t="shared" si="7"/>
        <v>13</v>
      </c>
      <c r="I28" s="3">
        <f t="shared" si="8"/>
        <v>1</v>
      </c>
      <c r="J28" s="3">
        <f t="shared" si="9"/>
        <v>0</v>
      </c>
      <c r="K28">
        <f t="shared" si="10"/>
        <v>7</v>
      </c>
      <c r="L28" s="3">
        <f t="shared" si="11"/>
        <v>6</v>
      </c>
      <c r="M28" s="3">
        <f t="shared" si="12"/>
        <v>1</v>
      </c>
      <c r="N28" s="3">
        <f t="shared" si="13"/>
        <v>0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1</v>
      </c>
      <c r="T28" s="3">
        <f t="shared" si="19"/>
        <v>1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PS28" s="3">
        <f t="shared" si="33"/>
        <v>2</v>
      </c>
      <c r="PT28" s="3">
        <f t="shared" si="34"/>
        <v>0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384</v>
      </c>
      <c r="C29">
        <f t="shared" si="2"/>
        <v>144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8</v>
      </c>
      <c r="H29" s="3">
        <f t="shared" si="7"/>
        <v>4</v>
      </c>
      <c r="I29" s="3">
        <f t="shared" si="8"/>
        <v>4</v>
      </c>
      <c r="J29" s="3">
        <f t="shared" si="9"/>
        <v>1</v>
      </c>
      <c r="K29">
        <f t="shared" si="10"/>
        <v>4</v>
      </c>
      <c r="L29" s="3">
        <f t="shared" si="11"/>
        <v>2</v>
      </c>
      <c r="M29" s="3">
        <f t="shared" si="12"/>
        <v>2</v>
      </c>
      <c r="N29" s="3">
        <f t="shared" si="13"/>
        <v>0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0</v>
      </c>
      <c r="X29" s="4">
        <f t="shared" si="22"/>
        <v>0</v>
      </c>
      <c r="Y29" s="4">
        <f t="shared" si="23"/>
        <v>0</v>
      </c>
      <c r="Z29" s="4">
        <f t="shared" si="24"/>
        <v>0</v>
      </c>
      <c r="AA29">
        <f t="shared" si="25"/>
        <v>0</v>
      </c>
      <c r="AB29">
        <f t="shared" si="26"/>
        <v>0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F30">
        <f t="shared" si="5"/>
        <v>45</v>
      </c>
      <c r="BG30">
        <v>45</v>
      </c>
      <c r="BH30" t="s">
        <v>136</v>
      </c>
    </row>
  </sheetData>
  <phoneticPr fontId="1" type="noConversion"/>
  <conditionalFormatting sqref="A22:A30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2026-01-09T08:28:22Z</dcterms:modified>
</cp:coreProperties>
</file>