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7F69D41-B90C-D641-B3F7-44010237CE13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S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O18" i="1" l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<sst xmlns="http://schemas.openxmlformats.org/spreadsheetml/2006/main" count="1118" uniqueCount="150">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</sst>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0"/>
  <sheetViews>
    <sheetView tabSelected="1" workbookViewId="0">
      <pane xSplit="1" topLeftCell="EP1" activePane="topRight" state="frozen"/>
      <selection pane="topRight" activeCell="ET16" sqref="ET16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6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R2" t="s">
        <v>139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2</v>
      </c>
      <c r="PT2" s="3">
        <f>COUNTIF(CY2:GX2,"HG")</f>
        <v>1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450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360</v>
      </c>
      <c r="F3">
        <f t="shared" ref="F3:F30" si="5">SUM(AI3,AM3,AQ3,AU3,AY3,BC3,BG3,BK3,BO3,BS3,BW3,CA3,CE3,CI3,CM3,CQ3,CU3)</f>
        <v>90</v>
      </c>
      <c r="G3">
        <f t="shared" ref="G3:G29" si="6">SUM(H3:I3)</f>
        <v>6</v>
      </c>
      <c r="H3" s="3">
        <f t="shared" ref="H3:H29" si="7">COUNTIF(AI3:PR3,"T")</f>
        <v>4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4</v>
      </c>
      <c r="T3" s="3">
        <f t="shared" ref="T3:T29" si="19">COUNTIF(IU3:PR3,"T")</f>
        <v>4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R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17</v>
      </c>
      <c r="PT3" s="3">
        <f t="shared" ref="PT3:PT29" si="34">COUNTIF(CY3:GX3,"HG")</f>
        <v>11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1245</v>
      </c>
      <c r="C4">
        <f t="shared" si="2"/>
        <v>90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16</v>
      </c>
      <c r="H4" s="3">
        <f t="shared" ref="H4" si="39">COUNTIF(AI4:PR4,"T")</f>
        <v>13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1</v>
      </c>
      <c r="L4" s="3">
        <f t="shared" ref="L4" si="43">COUNTIF(CY4:GX4,"T")</f>
        <v>1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Q4">
        <v>90</v>
      </c>
      <c r="ER4" t="s">
        <v>110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1021</v>
      </c>
      <c r="C5">
        <f t="shared" si="2"/>
        <v>411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15</v>
      </c>
      <c r="H5" s="3">
        <f t="shared" si="7"/>
        <v>13</v>
      </c>
      <c r="I5" s="3">
        <f t="shared" si="8"/>
        <v>2</v>
      </c>
      <c r="J5" s="3">
        <f t="shared" si="9"/>
        <v>0</v>
      </c>
      <c r="K5">
        <f t="shared" si="10"/>
        <v>5</v>
      </c>
      <c r="L5" s="3">
        <f t="shared" si="11"/>
        <v>5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Q5">
        <v>90</v>
      </c>
      <c r="ER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R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17</v>
      </c>
      <c r="PT6" s="3">
        <f t="shared" si="34"/>
        <v>10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1488</v>
      </c>
      <c r="C7">
        <f t="shared" si="2"/>
        <v>643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19</v>
      </c>
      <c r="H7" s="3">
        <f t="shared" si="7"/>
        <v>18</v>
      </c>
      <c r="I7" s="3">
        <f t="shared" si="8"/>
        <v>1</v>
      </c>
      <c r="J7" s="3">
        <f t="shared" si="9"/>
        <v>0</v>
      </c>
      <c r="K7">
        <f t="shared" si="10"/>
        <v>8</v>
      </c>
      <c r="L7" s="3">
        <f t="shared" si="11"/>
        <v>8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Q7">
        <v>44</v>
      </c>
      <c r="ER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869</v>
      </c>
      <c r="C8">
        <f t="shared" si="2"/>
        <v>0</v>
      </c>
      <c r="D8">
        <f t="shared" si="3"/>
        <v>24</v>
      </c>
      <c r="E8">
        <f t="shared" si="4"/>
        <v>630</v>
      </c>
      <c r="F8">
        <f t="shared" si="5"/>
        <v>215</v>
      </c>
      <c r="G8">
        <f t="shared" si="6"/>
        <v>15</v>
      </c>
      <c r="H8" s="3">
        <f t="shared" si="7"/>
        <v>7</v>
      </c>
      <c r="I8" s="3">
        <f t="shared" si="8"/>
        <v>8</v>
      </c>
      <c r="J8" s="3">
        <f t="shared" si="9"/>
        <v>2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1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7</v>
      </c>
      <c r="T8" s="3">
        <f t="shared" si="19"/>
        <v>7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R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14</v>
      </c>
      <c r="PT8" s="3">
        <f t="shared" si="34"/>
        <v>10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1642</v>
      </c>
      <c r="C9">
        <f t="shared" si="2"/>
        <v>886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22</v>
      </c>
      <c r="H9" s="3">
        <f t="shared" si="7"/>
        <v>19</v>
      </c>
      <c r="I9" s="3">
        <f t="shared" si="8"/>
        <v>3</v>
      </c>
      <c r="J9" s="3">
        <f t="shared" si="9"/>
        <v>0</v>
      </c>
      <c r="K9">
        <f t="shared" si="10"/>
        <v>10</v>
      </c>
      <c r="L9" s="3">
        <f t="shared" si="11"/>
        <v>10</v>
      </c>
      <c r="M9" s="3">
        <f t="shared" si="12"/>
        <v>0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R9" t="s">
        <v>139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825</v>
      </c>
      <c r="C10">
        <f t="shared" si="2"/>
        <v>225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15</v>
      </c>
      <c r="H10" s="3">
        <f t="shared" si="7"/>
        <v>7</v>
      </c>
      <c r="I10" s="3">
        <f t="shared" si="8"/>
        <v>8</v>
      </c>
      <c r="J10" s="3">
        <f t="shared" si="9"/>
        <v>3</v>
      </c>
      <c r="K10">
        <f t="shared" si="10"/>
        <v>4</v>
      </c>
      <c r="L10" s="3">
        <f t="shared" si="11"/>
        <v>2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Q10">
        <v>90</v>
      </c>
      <c r="ER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944</v>
      </c>
      <c r="C11">
        <f t="shared" si="2"/>
        <v>310</v>
      </c>
      <c r="D11">
        <f t="shared" si="3"/>
        <v>209</v>
      </c>
      <c r="E11">
        <f t="shared" si="4"/>
        <v>180</v>
      </c>
      <c r="F11">
        <f t="shared" si="5"/>
        <v>245</v>
      </c>
      <c r="G11">
        <f t="shared" si="6"/>
        <v>18</v>
      </c>
      <c r="H11" s="3">
        <f t="shared" si="7"/>
        <v>14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2</v>
      </c>
      <c r="T11" s="3">
        <f t="shared" si="19"/>
        <v>2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R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5</v>
      </c>
      <c r="PT11" s="3">
        <f t="shared" si="34"/>
        <v>3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R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16</v>
      </c>
      <c r="PT13" s="3">
        <f t="shared" si="34"/>
        <v>9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1593</v>
      </c>
      <c r="C14">
        <f t="shared" si="2"/>
        <v>765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24</v>
      </c>
      <c r="H14" s="3">
        <f t="shared" si="7"/>
        <v>17</v>
      </c>
      <c r="I14" s="3">
        <f t="shared" si="8"/>
        <v>7</v>
      </c>
      <c r="J14" s="3">
        <f t="shared" si="9"/>
        <v>0</v>
      </c>
      <c r="K14">
        <f t="shared" si="10"/>
        <v>10</v>
      </c>
      <c r="L14" s="3">
        <f t="shared" si="11"/>
        <v>9</v>
      </c>
      <c r="M14" s="3">
        <f t="shared" si="12"/>
        <v>1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Q14">
        <v>57</v>
      </c>
      <c r="ER14" t="s">
        <v>110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1158</v>
      </c>
      <c r="C15">
        <f t="shared" si="2"/>
        <v>511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24</v>
      </c>
      <c r="H15" s="3">
        <f t="shared" si="7"/>
        <v>14</v>
      </c>
      <c r="I15" s="3">
        <f t="shared" si="8"/>
        <v>10</v>
      </c>
      <c r="J15" s="3">
        <f t="shared" si="9"/>
        <v>0</v>
      </c>
      <c r="K15">
        <f t="shared" si="10"/>
        <v>11</v>
      </c>
      <c r="L15" s="3">
        <f t="shared" si="11"/>
        <v>5</v>
      </c>
      <c r="M15" s="3">
        <f t="shared" si="12"/>
        <v>6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Q15">
        <v>10</v>
      </c>
      <c r="ER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1588</v>
      </c>
      <c r="C16">
        <f t="shared" si="2"/>
        <v>896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23</v>
      </c>
      <c r="H16" s="3">
        <f t="shared" si="7"/>
        <v>18</v>
      </c>
      <c r="I16" s="3">
        <f t="shared" si="8"/>
        <v>5</v>
      </c>
      <c r="J16" s="3">
        <f t="shared" si="9"/>
        <v>0</v>
      </c>
      <c r="K16">
        <f t="shared" si="10"/>
        <v>11</v>
      </c>
      <c r="L16" s="3">
        <f t="shared" si="11"/>
        <v>10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10</v>
      </c>
      <c r="X16" s="4">
        <f t="shared" si="22"/>
        <v>10</v>
      </c>
      <c r="Y16" s="4">
        <f t="shared" si="23"/>
        <v>8</v>
      </c>
      <c r="Z16" s="4">
        <f t="shared" si="24"/>
        <v>7</v>
      </c>
      <c r="AA16">
        <f t="shared" si="25"/>
        <v>6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7</v>
      </c>
      <c r="PT17" s="3">
        <f t="shared" si="34"/>
        <v>5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1093</v>
      </c>
      <c r="C18">
        <f t="shared" si="2"/>
        <v>459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23</v>
      </c>
      <c r="H18" s="3">
        <f t="shared" si="7"/>
        <v>14</v>
      </c>
      <c r="I18" s="3">
        <f t="shared" si="8"/>
        <v>9</v>
      </c>
      <c r="J18" s="3">
        <f t="shared" si="9"/>
        <v>0</v>
      </c>
      <c r="K18">
        <f t="shared" si="10"/>
        <v>9</v>
      </c>
      <c r="L18" s="3">
        <f t="shared" si="11"/>
        <v>6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Q18">
        <v>80</v>
      </c>
      <c r="ER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821</v>
      </c>
      <c r="C19">
        <f t="shared" si="2"/>
        <v>187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20</v>
      </c>
      <c r="H19" s="3">
        <f t="shared" si="7"/>
        <v>7</v>
      </c>
      <c r="I19" s="3">
        <f t="shared" si="8"/>
        <v>13</v>
      </c>
      <c r="J19" s="3">
        <f t="shared" si="9"/>
        <v>0</v>
      </c>
      <c r="K19">
        <f t="shared" si="10"/>
        <v>7</v>
      </c>
      <c r="L19" s="3">
        <f t="shared" si="11"/>
        <v>1</v>
      </c>
      <c r="M19" s="3">
        <f t="shared" si="12"/>
        <v>6</v>
      </c>
      <c r="N19" s="3">
        <f t="shared" si="13"/>
        <v>0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R19" t="s">
        <v>139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1535</v>
      </c>
      <c r="C20">
        <f t="shared" si="2"/>
        <v>872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25</v>
      </c>
      <c r="H20" s="3">
        <f t="shared" si="7"/>
        <v>19</v>
      </c>
      <c r="I20" s="3">
        <f t="shared" si="8"/>
        <v>6</v>
      </c>
      <c r="J20" s="3">
        <f t="shared" si="9"/>
        <v>0</v>
      </c>
      <c r="K20">
        <f t="shared" si="10"/>
        <v>11</v>
      </c>
      <c r="L20" s="3">
        <f t="shared" si="11"/>
        <v>11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Q20">
        <v>80</v>
      </c>
      <c r="ER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2009</v>
      </c>
      <c r="C22">
        <f t="shared" si="2"/>
        <v>990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25</v>
      </c>
      <c r="H22" s="3">
        <f t="shared" si="7"/>
        <v>25</v>
      </c>
      <c r="I22" s="3">
        <f t="shared" si="8"/>
        <v>0</v>
      </c>
      <c r="J22" s="3">
        <f t="shared" si="9"/>
        <v>0</v>
      </c>
      <c r="K22">
        <f t="shared" si="10"/>
        <v>11</v>
      </c>
      <c r="L22" s="3">
        <f t="shared" si="11"/>
        <v>11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Q22">
        <v>90</v>
      </c>
      <c r="ER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1592</v>
      </c>
      <c r="C24">
        <f t="shared" si="2"/>
        <v>900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21</v>
      </c>
      <c r="H24" s="3">
        <f t="shared" si="7"/>
        <v>18</v>
      </c>
      <c r="I24" s="3">
        <f t="shared" si="8"/>
        <v>3</v>
      </c>
      <c r="J24" s="3">
        <f t="shared" si="9"/>
        <v>0</v>
      </c>
      <c r="K24">
        <f t="shared" si="10"/>
        <v>10</v>
      </c>
      <c r="L24" s="3">
        <f t="shared" si="11"/>
        <v>10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Q24">
        <v>90</v>
      </c>
      <c r="ER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R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7</v>
      </c>
      <c r="PT25" s="3">
        <f t="shared" si="34"/>
        <v>5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881</v>
      </c>
      <c r="C26">
        <f t="shared" si="2"/>
        <v>44</v>
      </c>
      <c r="D26">
        <f t="shared" si="3"/>
        <v>137</v>
      </c>
      <c r="E26">
        <f t="shared" si="4"/>
        <v>430</v>
      </c>
      <c r="F26">
        <f t="shared" si="5"/>
        <v>270</v>
      </c>
      <c r="G26">
        <f t="shared" si="6"/>
        <v>19</v>
      </c>
      <c r="H26" s="3">
        <f t="shared" si="7"/>
        <v>9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5</v>
      </c>
      <c r="T26" s="3">
        <f t="shared" si="19"/>
        <v>5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R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10</v>
      </c>
      <c r="PT26" s="3">
        <f t="shared" si="34"/>
        <v>7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1034</v>
      </c>
      <c r="C27">
        <f t="shared" si="2"/>
        <v>539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12</v>
      </c>
      <c r="H27" s="3">
        <f t="shared" si="7"/>
        <v>12</v>
      </c>
      <c r="I27" s="3">
        <f t="shared" si="8"/>
        <v>0</v>
      </c>
      <c r="J27" s="3">
        <f t="shared" si="9"/>
        <v>0</v>
      </c>
      <c r="K27">
        <f t="shared" si="10"/>
        <v>6</v>
      </c>
      <c r="L27" s="3">
        <f t="shared" si="11"/>
        <v>6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Q27">
        <v>89</v>
      </c>
      <c r="ER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1179</v>
      </c>
      <c r="C28">
        <f t="shared" si="2"/>
        <v>599</v>
      </c>
      <c r="D28">
        <f t="shared" si="3"/>
        <v>400</v>
      </c>
      <c r="E28">
        <f t="shared" si="4"/>
        <v>90</v>
      </c>
      <c r="F28">
        <f t="shared" si="5"/>
        <v>90</v>
      </c>
      <c r="G28">
        <f t="shared" si="6"/>
        <v>15</v>
      </c>
      <c r="H28" s="3">
        <f t="shared" si="7"/>
        <v>14</v>
      </c>
      <c r="I28" s="3">
        <f t="shared" si="8"/>
        <v>1</v>
      </c>
      <c r="J28" s="3">
        <f t="shared" si="9"/>
        <v>0</v>
      </c>
      <c r="K28">
        <f t="shared" si="10"/>
        <v>8</v>
      </c>
      <c r="L28" s="3">
        <f t="shared" si="11"/>
        <v>7</v>
      </c>
      <c r="M28" s="3">
        <f t="shared" si="12"/>
        <v>1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1</v>
      </c>
      <c r="T28" s="3">
        <f t="shared" si="19"/>
        <v>1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Q28">
        <v>90</v>
      </c>
      <c r="ER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384</v>
      </c>
      <c r="C29">
        <f t="shared" si="2"/>
        <v>144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8</v>
      </c>
      <c r="H29" s="3">
        <f t="shared" si="7"/>
        <v>4</v>
      </c>
      <c r="I29" s="3">
        <f t="shared" si="8"/>
        <v>4</v>
      </c>
      <c r="J29" s="3">
        <f t="shared" si="9"/>
        <v>2</v>
      </c>
      <c r="K29">
        <f t="shared" si="10"/>
        <v>4</v>
      </c>
      <c r="L29" s="3">
        <f t="shared" si="11"/>
        <v>2</v>
      </c>
      <c r="M29" s="3">
        <f t="shared" si="12"/>
        <v>2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R29" t="s">
        <v>138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F30">
        <f t="shared" si="5"/>
        <v>45</v>
      </c>
      <c r="BG30">
        <v>45</v>
      </c>
      <c r="BH30" t="s">
        <v>136</v>
      </c>
      <c r="EQ30">
        <v>1</v>
      </c>
      <c r="ER30" t="s">
        <v>136</v>
      </c>
    </row>
  </sheetData>
  <phoneticPr fontId="1" type="noConversion"/>
  <conditionalFormatting sqref="A22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2026-01-12T09:02:15Z</dcterms:modified>
</cp:coreProperties>
</file>