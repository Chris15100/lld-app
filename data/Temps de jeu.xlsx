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D76C6F4-F232-E542-A667-0BCC8883DC57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O18" i="1" s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G29" i="1" s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K27" i="1" l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<sst xmlns="http://schemas.openxmlformats.org/spreadsheetml/2006/main" count="943" uniqueCount="147">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</sst>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HO1" activePane="topRight" state="frozen"/>
      <selection pane="topRight" activeCell="HX15" sqref="HX15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33</v>
      </c>
      <c r="HT1" s="1" t="s">
        <v>92</v>
      </c>
      <c r="HU1" s="1" t="s">
        <v>93</v>
      </c>
      <c r="HV1" s="1" t="s">
        <v>71</v>
      </c>
      <c r="HW1" s="1" t="s">
        <v>33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1005</v>
      </c>
      <c r="C2">
        <f>SUM(CY2,DC2,DG2,DK2,DO2,DS2,DW2,EA2,EE2,EI2,EM2,EQ2,EU2,EY2,FC2,FG2,FK2,FO2,FS2,FW2,GA2,GE2,GI2,GM2,GQ2,GU2)</f>
        <v>720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13</v>
      </c>
      <c r="H2" s="3">
        <f>COUNTIF(AI2:PR2,"T")</f>
        <v>13</v>
      </c>
      <c r="I2" s="3">
        <f>COUNTIF(AI2:PR2,"R")</f>
        <v>0</v>
      </c>
      <c r="J2" s="3">
        <f>COUNTIF(AI2:PR2,"NR")</f>
        <v>4</v>
      </c>
      <c r="K2">
        <f>SUM(L2:M2)</f>
        <v>8</v>
      </c>
      <c r="L2" s="3">
        <f>COUNTIF(CY2:GX2,"T")</f>
        <v>8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4</v>
      </c>
      <c r="S2">
        <f>SUM(T2:U2)</f>
        <v>0</v>
      </c>
      <c r="T2" s="3">
        <f>COUNTIF(IU2:PR2,"T")</f>
        <v>0</v>
      </c>
      <c r="U2" s="3">
        <f t="shared" ref="U2:U29" si="0">COUNTIF(IU:PR,"R")</f>
        <v>0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HD2" t="s">
        <v>138</v>
      </c>
      <c r="HH2" t="s">
        <v>138</v>
      </c>
      <c r="HL2" t="s">
        <v>138</v>
      </c>
      <c r="HP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405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29" si="6">SUM(AI3,AM3,AQ3,AU3,AY3,BC3,BG3,BK3,BO3,BS3,BW3,CA3,CE3,CI3,CM3,CQ3,CU3)</f>
        <v>45</v>
      </c>
      <c r="G3">
        <f t="shared" ref="G3:G29" si="7">SUM(H3:I3)</f>
        <v>5</v>
      </c>
      <c r="H3" s="3">
        <f t="shared" ref="H3:H29" si="8">COUNTIF(AI3:PR3,"T")</f>
        <v>4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4</v>
      </c>
      <c r="T3" s="3">
        <f t="shared" ref="T3:T29" si="20">COUNTIF(IU3:PR3,"T")</f>
        <v>4</v>
      </c>
      <c r="U3" s="3">
        <f t="shared" si="0"/>
        <v>0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HD3" t="s">
        <v>139</v>
      </c>
      <c r="HH3" t="s">
        <v>139</v>
      </c>
      <c r="HL3" t="s">
        <v>139</v>
      </c>
      <c r="HP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12</v>
      </c>
      <c r="PT3" s="3">
        <f t="shared" ref="PT3:PT29" si="34">COUNTIF(CY3:GX3,"HG")</f>
        <v>8</v>
      </c>
      <c r="PU3" s="3">
        <f t="shared" ref="PU3:PU29" si="35">COUNTIF(GY3:IT3,"HG")</f>
        <v>4</v>
      </c>
      <c r="PV3">
        <f t="shared" si="2"/>
        <v>0</v>
      </c>
      <c r="PW3">
        <f t="shared" ref="PW3:PW29" si="36">G3-(K3+O3+S3)</f>
        <v>1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750</v>
      </c>
      <c r="C4">
        <f t="shared" si="3"/>
        <v>0</v>
      </c>
      <c r="D4">
        <f t="shared" si="4"/>
        <v>450</v>
      </c>
      <c r="E4">
        <f t="shared" si="5"/>
        <v>90</v>
      </c>
      <c r="F4">
        <f t="shared" si="6"/>
        <v>210</v>
      </c>
      <c r="G4">
        <f t="shared" ref="G4" si="38">SUM(H4:I4)</f>
        <v>10</v>
      </c>
      <c r="H4" s="3">
        <f t="shared" ref="H4" si="39">COUNTIF(AI4:PR4,"T")</f>
        <v>7</v>
      </c>
      <c r="I4" s="3">
        <f t="shared" ref="I4" si="40">COUNTIF(AI4:PR4,"R")</f>
        <v>3</v>
      </c>
      <c r="J4" s="3">
        <f t="shared" ref="J4" si="41">COUNTIF(AI4:PR4,"NR")</f>
        <v>5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5</v>
      </c>
      <c r="O4">
        <f t="shared" ref="O4" si="46">SUM(P4:Q4)</f>
        <v>5</v>
      </c>
      <c r="P4" s="3">
        <f t="shared" ref="P4" si="47">COUNTIF(GY4:IT4,"T")</f>
        <v>5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1</v>
      </c>
      <c r="T4" s="3">
        <f t="shared" si="20"/>
        <v>1</v>
      </c>
      <c r="U4" s="3">
        <f t="shared" si="0"/>
        <v>0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IU4">
        <v>90</v>
      </c>
      <c r="IV4" t="s">
        <v>110</v>
      </c>
      <c r="PS4" s="3">
        <f t="shared" ref="PS4" si="63">COUNTIF(AI4:PR4,"HG")</f>
        <v>3</v>
      </c>
      <c r="PT4" s="3">
        <f t="shared" ref="PT4" si="64">COUNTIF(CY4:GX4,"HG")</f>
        <v>3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4</v>
      </c>
    </row>
    <row r="5" spans="1:439" x14ac:dyDescent="0.2">
      <c r="A5" s="2" t="s">
        <v>114</v>
      </c>
      <c r="B5">
        <f t="shared" si="37"/>
        <v>796</v>
      </c>
      <c r="C5">
        <f t="shared" si="3"/>
        <v>321</v>
      </c>
      <c r="D5">
        <f t="shared" si="4"/>
        <v>175</v>
      </c>
      <c r="E5">
        <f t="shared" si="5"/>
        <v>0</v>
      </c>
      <c r="F5">
        <f t="shared" si="6"/>
        <v>300</v>
      </c>
      <c r="G5">
        <f t="shared" si="7"/>
        <v>12</v>
      </c>
      <c r="H5" s="3">
        <f t="shared" si="8"/>
        <v>11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2</v>
      </c>
      <c r="P5" s="3">
        <f t="shared" si="16"/>
        <v>2</v>
      </c>
      <c r="Q5" s="3">
        <f t="shared" si="17"/>
        <v>0</v>
      </c>
      <c r="R5" s="3">
        <f t="shared" si="18"/>
        <v>0</v>
      </c>
      <c r="S5">
        <f t="shared" si="19"/>
        <v>0</v>
      </c>
      <c r="T5" s="3">
        <f t="shared" si="20"/>
        <v>0</v>
      </c>
      <c r="U5" s="3">
        <f t="shared" si="0"/>
        <v>0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PS5" s="3">
        <f t="shared" si="33"/>
        <v>6</v>
      </c>
      <c r="PT5" s="3">
        <f t="shared" si="34"/>
        <v>4</v>
      </c>
      <c r="PU5" s="3">
        <f t="shared" si="35"/>
        <v>2</v>
      </c>
      <c r="PV5">
        <f t="shared" si="2"/>
        <v>0</v>
      </c>
      <c r="PW5">
        <f t="shared" si="36"/>
        <v>6</v>
      </c>
    </row>
    <row r="6" spans="1:439" x14ac:dyDescent="0.2">
      <c r="A6" s="2" t="s">
        <v>115</v>
      </c>
      <c r="B6">
        <f t="shared" si="37"/>
        <v>360</v>
      </c>
      <c r="C6">
        <f t="shared" si="3"/>
        <v>0</v>
      </c>
      <c r="D6">
        <f t="shared" si="4"/>
        <v>0</v>
      </c>
      <c r="E6">
        <f t="shared" si="5"/>
        <v>90</v>
      </c>
      <c r="F6">
        <f t="shared" si="6"/>
        <v>270</v>
      </c>
      <c r="G6">
        <f t="shared" si="7"/>
        <v>7</v>
      </c>
      <c r="H6" s="3">
        <f t="shared" si="8"/>
        <v>3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1</v>
      </c>
      <c r="T6" s="3">
        <f t="shared" si="20"/>
        <v>1</v>
      </c>
      <c r="U6" s="3">
        <f t="shared" si="0"/>
        <v>0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HD6" t="s">
        <v>139</v>
      </c>
      <c r="HH6" t="s">
        <v>139</v>
      </c>
      <c r="HL6" t="s">
        <v>139</v>
      </c>
      <c r="HP6" t="s">
        <v>139</v>
      </c>
      <c r="JC6">
        <v>90</v>
      </c>
      <c r="JD6" t="s">
        <v>110</v>
      </c>
      <c r="PS6" s="3">
        <f t="shared" si="33"/>
        <v>11</v>
      </c>
      <c r="PT6" s="3">
        <f t="shared" si="34"/>
        <v>7</v>
      </c>
      <c r="PU6" s="3">
        <f t="shared" si="35"/>
        <v>4</v>
      </c>
      <c r="PV6">
        <f t="shared" si="2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1009</v>
      </c>
      <c r="C7">
        <f t="shared" si="3"/>
        <v>419</v>
      </c>
      <c r="D7">
        <f t="shared" si="4"/>
        <v>430</v>
      </c>
      <c r="E7">
        <f t="shared" si="5"/>
        <v>0</v>
      </c>
      <c r="F7">
        <f t="shared" si="6"/>
        <v>160</v>
      </c>
      <c r="G7">
        <f t="shared" si="7"/>
        <v>13</v>
      </c>
      <c r="H7" s="3">
        <f t="shared" si="8"/>
        <v>12</v>
      </c>
      <c r="I7" s="3">
        <f t="shared" si="9"/>
        <v>1</v>
      </c>
      <c r="J7" s="3">
        <f t="shared" si="10"/>
        <v>0</v>
      </c>
      <c r="K7">
        <f t="shared" si="11"/>
        <v>5</v>
      </c>
      <c r="L7" s="3">
        <f t="shared" si="12"/>
        <v>5</v>
      </c>
      <c r="M7" s="3">
        <f t="shared" si="13"/>
        <v>0</v>
      </c>
      <c r="N7" s="3">
        <f t="shared" si="14"/>
        <v>0</v>
      </c>
      <c r="O7">
        <f t="shared" si="15"/>
        <v>5</v>
      </c>
      <c r="P7" s="3">
        <f t="shared" si="16"/>
        <v>5</v>
      </c>
      <c r="Q7" s="3">
        <f t="shared" si="17"/>
        <v>0</v>
      </c>
      <c r="R7" s="3">
        <f t="shared" si="18"/>
        <v>0</v>
      </c>
      <c r="S7">
        <f t="shared" si="19"/>
        <v>0</v>
      </c>
      <c r="T7" s="3">
        <f t="shared" si="20"/>
        <v>0</v>
      </c>
      <c r="U7" s="3">
        <f t="shared" si="0"/>
        <v>0</v>
      </c>
      <c r="V7" s="3">
        <f t="shared" si="1"/>
        <v>0</v>
      </c>
      <c r="W7" s="3">
        <f t="shared" si="21"/>
        <v>0</v>
      </c>
      <c r="X7" s="4">
        <f t="shared" si="22"/>
        <v>0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3</v>
      </c>
    </row>
    <row r="8" spans="1:439" x14ac:dyDescent="0.2">
      <c r="A8" s="2" t="s">
        <v>117</v>
      </c>
      <c r="B8">
        <f t="shared" si="37"/>
        <v>464</v>
      </c>
      <c r="C8">
        <f t="shared" si="3"/>
        <v>0</v>
      </c>
      <c r="D8">
        <f t="shared" si="4"/>
        <v>24</v>
      </c>
      <c r="E8">
        <f t="shared" si="5"/>
        <v>270</v>
      </c>
      <c r="F8">
        <f t="shared" si="6"/>
        <v>170</v>
      </c>
      <c r="G8">
        <f t="shared" si="7"/>
        <v>10</v>
      </c>
      <c r="H8" s="3">
        <f t="shared" si="8"/>
        <v>3</v>
      </c>
      <c r="I8" s="3">
        <f t="shared" si="9"/>
        <v>7</v>
      </c>
      <c r="J8" s="3">
        <f t="shared" si="10"/>
        <v>2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1</v>
      </c>
      <c r="S8">
        <f t="shared" si="19"/>
        <v>3</v>
      </c>
      <c r="T8" s="3">
        <f t="shared" si="20"/>
        <v>3</v>
      </c>
      <c r="U8" s="3">
        <f t="shared" si="0"/>
        <v>0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PS8" s="3">
        <f t="shared" si="33"/>
        <v>9</v>
      </c>
      <c r="PT8" s="3">
        <f t="shared" si="34"/>
        <v>7</v>
      </c>
      <c r="PU8" s="3">
        <f t="shared" si="35"/>
        <v>2</v>
      </c>
      <c r="PV8">
        <f t="shared" si="2"/>
        <v>0</v>
      </c>
      <c r="PW8">
        <f t="shared" si="36"/>
        <v>5</v>
      </c>
    </row>
    <row r="9" spans="1:439" x14ac:dyDescent="0.2">
      <c r="A9" s="2" t="s">
        <v>118</v>
      </c>
      <c r="B9">
        <f t="shared" si="37"/>
        <v>1282</v>
      </c>
      <c r="C9">
        <f t="shared" si="3"/>
        <v>706</v>
      </c>
      <c r="D9">
        <f t="shared" si="4"/>
        <v>251</v>
      </c>
      <c r="E9">
        <f t="shared" si="5"/>
        <v>0</v>
      </c>
      <c r="F9">
        <f t="shared" si="6"/>
        <v>325</v>
      </c>
      <c r="G9">
        <f t="shared" si="7"/>
        <v>18</v>
      </c>
      <c r="H9" s="3">
        <f t="shared" si="8"/>
        <v>15</v>
      </c>
      <c r="I9" s="3">
        <f t="shared" si="9"/>
        <v>3</v>
      </c>
      <c r="J9" s="3">
        <f t="shared" si="10"/>
        <v>0</v>
      </c>
      <c r="K9">
        <f t="shared" si="11"/>
        <v>8</v>
      </c>
      <c r="L9" s="3">
        <f t="shared" si="12"/>
        <v>8</v>
      </c>
      <c r="M9" s="3">
        <f t="shared" si="13"/>
        <v>0</v>
      </c>
      <c r="N9" s="3">
        <f t="shared" si="14"/>
        <v>0</v>
      </c>
      <c r="O9">
        <f t="shared" si="15"/>
        <v>4</v>
      </c>
      <c r="P9" s="3">
        <f t="shared" si="16"/>
        <v>2</v>
      </c>
      <c r="Q9" s="3">
        <f t="shared" si="17"/>
        <v>2</v>
      </c>
      <c r="R9" s="3">
        <f t="shared" si="18"/>
        <v>0</v>
      </c>
      <c r="S9">
        <f t="shared" si="19"/>
        <v>0</v>
      </c>
      <c r="T9" s="3">
        <f t="shared" si="20"/>
        <v>0</v>
      </c>
      <c r="U9" s="3">
        <f t="shared" si="0"/>
        <v>0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630</v>
      </c>
      <c r="C10">
        <f t="shared" si="3"/>
        <v>120</v>
      </c>
      <c r="D10">
        <f t="shared" si="4"/>
        <v>80</v>
      </c>
      <c r="E10">
        <f t="shared" si="5"/>
        <v>135</v>
      </c>
      <c r="F10">
        <f t="shared" si="6"/>
        <v>295</v>
      </c>
      <c r="G10">
        <f t="shared" si="7"/>
        <v>12</v>
      </c>
      <c r="H10" s="3">
        <f t="shared" si="8"/>
        <v>5</v>
      </c>
      <c r="I10" s="3">
        <f t="shared" si="9"/>
        <v>7</v>
      </c>
      <c r="J10" s="3">
        <f t="shared" si="10"/>
        <v>1</v>
      </c>
      <c r="K10">
        <f t="shared" si="11"/>
        <v>2</v>
      </c>
      <c r="L10" s="3">
        <f t="shared" si="12"/>
        <v>1</v>
      </c>
      <c r="M10" s="3">
        <f t="shared" si="13"/>
        <v>1</v>
      </c>
      <c r="N10" s="3">
        <f t="shared" si="14"/>
        <v>1</v>
      </c>
      <c r="O10">
        <f t="shared" si="15"/>
        <v>2</v>
      </c>
      <c r="P10" s="3">
        <f t="shared" si="16"/>
        <v>0</v>
      </c>
      <c r="Q10" s="3">
        <f t="shared" si="17"/>
        <v>2</v>
      </c>
      <c r="R10" s="3">
        <f t="shared" si="18"/>
        <v>0</v>
      </c>
      <c r="S10">
        <f t="shared" si="19"/>
        <v>2</v>
      </c>
      <c r="T10" s="3">
        <f t="shared" si="20"/>
        <v>2</v>
      </c>
      <c r="U10" s="3">
        <f t="shared" si="0"/>
        <v>0</v>
      </c>
      <c r="V10" s="3">
        <f t="shared" si="1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719</v>
      </c>
      <c r="C11">
        <f t="shared" si="3"/>
        <v>310</v>
      </c>
      <c r="D11">
        <f t="shared" si="4"/>
        <v>209</v>
      </c>
      <c r="E11">
        <f t="shared" si="5"/>
        <v>0</v>
      </c>
      <c r="F11">
        <f t="shared" si="6"/>
        <v>200</v>
      </c>
      <c r="G11">
        <f t="shared" si="7"/>
        <v>15</v>
      </c>
      <c r="H11" s="3">
        <f t="shared" si="8"/>
        <v>11</v>
      </c>
      <c r="I11" s="3">
        <f t="shared" si="9"/>
        <v>4</v>
      </c>
      <c r="J11" s="3">
        <f t="shared" si="10"/>
        <v>1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3</v>
      </c>
      <c r="P11" s="3">
        <f t="shared" si="16"/>
        <v>3</v>
      </c>
      <c r="Q11" s="3">
        <f t="shared" si="17"/>
        <v>0</v>
      </c>
      <c r="R11" s="3">
        <f t="shared" si="18"/>
        <v>0</v>
      </c>
      <c r="S11">
        <f t="shared" si="19"/>
        <v>0</v>
      </c>
      <c r="T11" s="3">
        <f t="shared" si="20"/>
        <v>0</v>
      </c>
      <c r="U11" s="3">
        <f t="shared" si="0"/>
        <v>0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PS11" s="3">
        <f t="shared" si="33"/>
        <v>2</v>
      </c>
      <c r="PT11" s="3">
        <f t="shared" si="34"/>
        <v>0</v>
      </c>
      <c r="PU11" s="3">
        <f t="shared" si="35"/>
        <v>2</v>
      </c>
      <c r="PV11">
        <f t="shared" si="2"/>
        <v>0</v>
      </c>
      <c r="PW11">
        <f t="shared" si="36"/>
        <v>5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0</v>
      </c>
      <c r="T12" s="3">
        <f t="shared" si="20"/>
        <v>0</v>
      </c>
      <c r="U12" s="3">
        <f t="shared" si="0"/>
        <v>0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PS12" s="3">
        <f t="shared" si="33"/>
        <v>6</v>
      </c>
      <c r="PT12" s="3">
        <f t="shared" si="34"/>
        <v>6</v>
      </c>
      <c r="PU12" s="3">
        <f t="shared" si="35"/>
        <v>0</v>
      </c>
      <c r="PV12">
        <f t="shared" si="2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0</v>
      </c>
      <c r="T13" s="3">
        <f t="shared" si="20"/>
        <v>0</v>
      </c>
      <c r="U13" s="3">
        <f t="shared" si="0"/>
        <v>0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HD13" t="s">
        <v>139</v>
      </c>
      <c r="HH13" t="s">
        <v>139</v>
      </c>
      <c r="HL13" t="s">
        <v>139</v>
      </c>
      <c r="HP13" t="s">
        <v>139</v>
      </c>
      <c r="PS13" s="3">
        <f t="shared" si="33"/>
        <v>10</v>
      </c>
      <c r="PT13" s="3">
        <f t="shared" si="34"/>
        <v>6</v>
      </c>
      <c r="PU13" s="3">
        <f t="shared" si="35"/>
        <v>4</v>
      </c>
      <c r="PV13">
        <f t="shared" si="2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1197</v>
      </c>
      <c r="C14">
        <f t="shared" si="3"/>
        <v>537</v>
      </c>
      <c r="D14">
        <f t="shared" si="4"/>
        <v>405</v>
      </c>
      <c r="E14">
        <f t="shared" si="5"/>
        <v>0</v>
      </c>
      <c r="F14">
        <f t="shared" si="6"/>
        <v>255</v>
      </c>
      <c r="G14">
        <f t="shared" si="7"/>
        <v>18</v>
      </c>
      <c r="H14" s="3">
        <f t="shared" si="8"/>
        <v>12</v>
      </c>
      <c r="I14" s="3">
        <f t="shared" si="9"/>
        <v>6</v>
      </c>
      <c r="J14" s="3">
        <f t="shared" si="10"/>
        <v>0</v>
      </c>
      <c r="K14">
        <f t="shared" si="11"/>
        <v>7</v>
      </c>
      <c r="L14" s="3">
        <f t="shared" si="12"/>
        <v>6</v>
      </c>
      <c r="M14" s="3">
        <f t="shared" si="13"/>
        <v>1</v>
      </c>
      <c r="N14" s="3">
        <f t="shared" si="14"/>
        <v>0</v>
      </c>
      <c r="O14">
        <f t="shared" si="15"/>
        <v>5</v>
      </c>
      <c r="P14" s="3">
        <f t="shared" si="16"/>
        <v>4</v>
      </c>
      <c r="Q14" s="3">
        <f t="shared" si="17"/>
        <v>1</v>
      </c>
      <c r="R14" s="3">
        <f t="shared" si="18"/>
        <v>0</v>
      </c>
      <c r="S14">
        <f t="shared" si="19"/>
        <v>0</v>
      </c>
      <c r="T14" s="3">
        <f t="shared" si="20"/>
        <v>0</v>
      </c>
      <c r="U14" s="3">
        <f t="shared" si="0"/>
        <v>0</v>
      </c>
      <c r="V14" s="3">
        <f t="shared" si="1"/>
        <v>0</v>
      </c>
      <c r="W14" s="3">
        <f t="shared" si="21"/>
        <v>2</v>
      </c>
      <c r="X14" s="4">
        <f t="shared" si="22"/>
        <v>2</v>
      </c>
      <c r="Y14" s="4">
        <f t="shared" si="23"/>
        <v>2</v>
      </c>
      <c r="Z14" s="4">
        <f t="shared" si="24"/>
        <v>2</v>
      </c>
      <c r="AA14">
        <f t="shared" si="25"/>
        <v>1</v>
      </c>
      <c r="AB14">
        <f t="shared" si="26"/>
        <v>1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6</v>
      </c>
    </row>
    <row r="15" spans="1:439" x14ac:dyDescent="0.2">
      <c r="A15" s="2" t="s">
        <v>124</v>
      </c>
      <c r="B15">
        <f t="shared" si="37"/>
        <v>914</v>
      </c>
      <c r="C15">
        <f t="shared" si="3"/>
        <v>469</v>
      </c>
      <c r="D15">
        <f t="shared" si="4"/>
        <v>130</v>
      </c>
      <c r="E15">
        <f t="shared" si="5"/>
        <v>0</v>
      </c>
      <c r="F15">
        <f t="shared" si="6"/>
        <v>315</v>
      </c>
      <c r="G15">
        <f t="shared" si="7"/>
        <v>17</v>
      </c>
      <c r="H15" s="3">
        <f t="shared" si="8"/>
        <v>12</v>
      </c>
      <c r="I15" s="3">
        <f t="shared" si="9"/>
        <v>5</v>
      </c>
      <c r="J15" s="3">
        <f t="shared" si="10"/>
        <v>0</v>
      </c>
      <c r="K15">
        <f t="shared" si="11"/>
        <v>8</v>
      </c>
      <c r="L15" s="3">
        <f t="shared" si="12"/>
        <v>5</v>
      </c>
      <c r="M15" s="3">
        <f t="shared" si="13"/>
        <v>3</v>
      </c>
      <c r="N15" s="3">
        <f t="shared" si="14"/>
        <v>0</v>
      </c>
      <c r="O15">
        <f t="shared" si="15"/>
        <v>3</v>
      </c>
      <c r="P15" s="3">
        <f t="shared" si="16"/>
        <v>2</v>
      </c>
      <c r="Q15" s="3">
        <f t="shared" si="17"/>
        <v>1</v>
      </c>
      <c r="R15" s="3">
        <f t="shared" si="18"/>
        <v>0</v>
      </c>
      <c r="S15">
        <f t="shared" si="19"/>
        <v>0</v>
      </c>
      <c r="T15" s="3">
        <f t="shared" si="20"/>
        <v>0</v>
      </c>
      <c r="U15" s="3">
        <f t="shared" si="0"/>
        <v>0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2"/>
        <v>0</v>
      </c>
      <c r="PW15">
        <f t="shared" si="36"/>
        <v>6</v>
      </c>
    </row>
    <row r="16" spans="1:439" x14ac:dyDescent="0.2">
      <c r="A16" s="2" t="s">
        <v>125</v>
      </c>
      <c r="B16">
        <f t="shared" si="37"/>
        <v>1205</v>
      </c>
      <c r="C16">
        <f t="shared" si="3"/>
        <v>691</v>
      </c>
      <c r="D16">
        <f t="shared" si="4"/>
        <v>259</v>
      </c>
      <c r="E16">
        <f t="shared" si="5"/>
        <v>0</v>
      </c>
      <c r="F16">
        <f t="shared" si="6"/>
        <v>255</v>
      </c>
      <c r="G16">
        <f t="shared" si="7"/>
        <v>18</v>
      </c>
      <c r="H16" s="3">
        <f t="shared" si="8"/>
        <v>14</v>
      </c>
      <c r="I16" s="3">
        <f t="shared" si="9"/>
        <v>4</v>
      </c>
      <c r="J16" s="3">
        <f t="shared" si="10"/>
        <v>0</v>
      </c>
      <c r="K16">
        <f t="shared" si="11"/>
        <v>8</v>
      </c>
      <c r="L16" s="3">
        <f t="shared" si="12"/>
        <v>8</v>
      </c>
      <c r="M16" s="3">
        <f t="shared" si="13"/>
        <v>0</v>
      </c>
      <c r="N16" s="3">
        <f t="shared" si="14"/>
        <v>0</v>
      </c>
      <c r="O16">
        <f t="shared" si="15"/>
        <v>5</v>
      </c>
      <c r="P16" s="3">
        <f t="shared" si="16"/>
        <v>2</v>
      </c>
      <c r="Q16" s="3">
        <f t="shared" si="17"/>
        <v>3</v>
      </c>
      <c r="R16" s="3">
        <f t="shared" si="18"/>
        <v>0</v>
      </c>
      <c r="S16">
        <f t="shared" si="19"/>
        <v>0</v>
      </c>
      <c r="T16" s="3">
        <f t="shared" si="20"/>
        <v>0</v>
      </c>
      <c r="U16" s="3">
        <f t="shared" si="0"/>
        <v>0</v>
      </c>
      <c r="V16" s="3">
        <f t="shared" si="1"/>
        <v>0</v>
      </c>
      <c r="W16" s="3">
        <f t="shared" si="21"/>
        <v>7</v>
      </c>
      <c r="X16" s="4">
        <f t="shared" si="22"/>
        <v>7</v>
      </c>
      <c r="Y16" s="4">
        <f t="shared" si="23"/>
        <v>6</v>
      </c>
      <c r="Z16" s="4">
        <f t="shared" si="24"/>
        <v>5</v>
      </c>
      <c r="AA16">
        <f t="shared" si="25"/>
        <v>4</v>
      </c>
      <c r="AB16">
        <f t="shared" si="26"/>
        <v>4</v>
      </c>
      <c r="AC16">
        <f t="shared" si="27"/>
        <v>3</v>
      </c>
      <c r="AD16">
        <f t="shared" si="28"/>
        <v>1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350</v>
      </c>
      <c r="C17">
        <f t="shared" si="3"/>
        <v>42</v>
      </c>
      <c r="D17">
        <f t="shared" si="4"/>
        <v>128</v>
      </c>
      <c r="E17">
        <f t="shared" si="5"/>
        <v>0</v>
      </c>
      <c r="F17">
        <f t="shared" si="6"/>
        <v>180</v>
      </c>
      <c r="G17">
        <f t="shared" si="7"/>
        <v>10</v>
      </c>
      <c r="H17" s="3">
        <f t="shared" si="8"/>
        <v>4</v>
      </c>
      <c r="I17" s="3">
        <f t="shared" si="9"/>
        <v>6</v>
      </c>
      <c r="J17" s="3">
        <f t="shared" si="10"/>
        <v>0</v>
      </c>
      <c r="K17">
        <f t="shared" si="11"/>
        <v>4</v>
      </c>
      <c r="L17" s="3">
        <f t="shared" si="12"/>
        <v>0</v>
      </c>
      <c r="M17" s="3">
        <f t="shared" si="13"/>
        <v>4</v>
      </c>
      <c r="N17" s="3">
        <f t="shared" si="14"/>
        <v>0</v>
      </c>
      <c r="O17">
        <f t="shared" si="15"/>
        <v>2</v>
      </c>
      <c r="P17" s="3">
        <f t="shared" si="16"/>
        <v>2</v>
      </c>
      <c r="Q17" s="3">
        <f t="shared" si="17"/>
        <v>0</v>
      </c>
      <c r="R17" s="3">
        <f t="shared" si="18"/>
        <v>0</v>
      </c>
      <c r="S17">
        <f t="shared" si="19"/>
        <v>0</v>
      </c>
      <c r="T17" s="3">
        <f t="shared" si="20"/>
        <v>0</v>
      </c>
      <c r="U17" s="3">
        <f t="shared" si="0"/>
        <v>0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PS17" s="3">
        <f t="shared" si="33"/>
        <v>6</v>
      </c>
      <c r="PT17" s="3">
        <f t="shared" si="34"/>
        <v>4</v>
      </c>
      <c r="PU17" s="3">
        <f t="shared" si="35"/>
        <v>2</v>
      </c>
      <c r="PV17">
        <f t="shared" si="2"/>
        <v>0</v>
      </c>
      <c r="PW17">
        <f t="shared" si="36"/>
        <v>4</v>
      </c>
    </row>
    <row r="18" spans="1:439" x14ac:dyDescent="0.2">
      <c r="A18" s="2" t="s">
        <v>127</v>
      </c>
      <c r="B18">
        <f t="shared" si="37"/>
        <v>717</v>
      </c>
      <c r="C18">
        <f t="shared" si="3"/>
        <v>241</v>
      </c>
      <c r="D18">
        <f t="shared" si="4"/>
        <v>221</v>
      </c>
      <c r="E18">
        <f t="shared" si="5"/>
        <v>0</v>
      </c>
      <c r="F18">
        <f t="shared" si="6"/>
        <v>255</v>
      </c>
      <c r="G18">
        <f t="shared" si="7"/>
        <v>17</v>
      </c>
      <c r="H18" s="3">
        <f t="shared" si="8"/>
        <v>9</v>
      </c>
      <c r="I18" s="3">
        <f t="shared" si="9"/>
        <v>8</v>
      </c>
      <c r="J18" s="3">
        <f t="shared" si="10"/>
        <v>0</v>
      </c>
      <c r="K18">
        <f t="shared" si="11"/>
        <v>6</v>
      </c>
      <c r="L18" s="3">
        <f t="shared" si="12"/>
        <v>3</v>
      </c>
      <c r="M18" s="3">
        <f t="shared" si="13"/>
        <v>3</v>
      </c>
      <c r="N18" s="3">
        <f t="shared" si="14"/>
        <v>0</v>
      </c>
      <c r="O18">
        <f t="shared" si="15"/>
        <v>5</v>
      </c>
      <c r="P18" s="3">
        <f t="shared" si="16"/>
        <v>3</v>
      </c>
      <c r="Q18" s="3">
        <f t="shared" si="17"/>
        <v>2</v>
      </c>
      <c r="R18" s="3">
        <f t="shared" si="18"/>
        <v>0</v>
      </c>
      <c r="S18">
        <f t="shared" si="19"/>
        <v>0</v>
      </c>
      <c r="T18" s="3">
        <f t="shared" si="20"/>
        <v>0</v>
      </c>
      <c r="U18" s="3">
        <f t="shared" si="0"/>
        <v>0</v>
      </c>
      <c r="V18" s="3">
        <f t="shared" si="1"/>
        <v>0</v>
      </c>
      <c r="W18" s="3">
        <f t="shared" si="21"/>
        <v>1</v>
      </c>
      <c r="X18" s="4">
        <f t="shared" si="22"/>
        <v>1</v>
      </c>
      <c r="Y18" s="4">
        <f t="shared" si="23"/>
        <v>3</v>
      </c>
      <c r="Z18" s="4">
        <f t="shared" si="24"/>
        <v>2</v>
      </c>
      <c r="AA18">
        <f t="shared" si="25"/>
        <v>1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6</v>
      </c>
    </row>
    <row r="19" spans="1:439" x14ac:dyDescent="0.2">
      <c r="A19" s="2" t="s">
        <v>128</v>
      </c>
      <c r="B19">
        <f t="shared" si="37"/>
        <v>619</v>
      </c>
      <c r="C19">
        <f t="shared" si="3"/>
        <v>145</v>
      </c>
      <c r="D19">
        <f t="shared" si="4"/>
        <v>189</v>
      </c>
      <c r="E19">
        <f t="shared" si="5"/>
        <v>90</v>
      </c>
      <c r="F19">
        <f t="shared" si="6"/>
        <v>195</v>
      </c>
      <c r="G19">
        <f t="shared" si="7"/>
        <v>14</v>
      </c>
      <c r="H19" s="3">
        <f t="shared" si="8"/>
        <v>6</v>
      </c>
      <c r="I19" s="3">
        <f t="shared" si="9"/>
        <v>8</v>
      </c>
      <c r="J19" s="3">
        <f t="shared" si="10"/>
        <v>0</v>
      </c>
      <c r="K19">
        <f t="shared" si="11"/>
        <v>5</v>
      </c>
      <c r="L19" s="3">
        <f t="shared" si="12"/>
        <v>1</v>
      </c>
      <c r="M19" s="3">
        <f t="shared" si="13"/>
        <v>4</v>
      </c>
      <c r="N19" s="3">
        <f t="shared" si="14"/>
        <v>0</v>
      </c>
      <c r="O19">
        <f t="shared" si="15"/>
        <v>4</v>
      </c>
      <c r="P19" s="3">
        <f t="shared" si="16"/>
        <v>2</v>
      </c>
      <c r="Q19" s="3">
        <f t="shared" si="17"/>
        <v>2</v>
      </c>
      <c r="R19" s="3">
        <f t="shared" si="18"/>
        <v>0</v>
      </c>
      <c r="S19">
        <f>SUM(T19:U19)</f>
        <v>1</v>
      </c>
      <c r="T19" s="3">
        <f t="shared" si="20"/>
        <v>1</v>
      </c>
      <c r="U19" s="3">
        <f t="shared" si="0"/>
        <v>0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IY19">
        <v>90</v>
      </c>
      <c r="IZ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4</v>
      </c>
    </row>
    <row r="20" spans="1:439" x14ac:dyDescent="0.2">
      <c r="A20" s="2" t="s">
        <v>129</v>
      </c>
      <c r="B20">
        <f t="shared" si="37"/>
        <v>1107</v>
      </c>
      <c r="C20">
        <f t="shared" si="3"/>
        <v>644</v>
      </c>
      <c r="D20">
        <f t="shared" si="4"/>
        <v>218</v>
      </c>
      <c r="E20">
        <f t="shared" si="5"/>
        <v>0</v>
      </c>
      <c r="F20">
        <f t="shared" si="6"/>
        <v>245</v>
      </c>
      <c r="G20">
        <f t="shared" si="7"/>
        <v>19</v>
      </c>
      <c r="H20" s="3">
        <f t="shared" si="8"/>
        <v>13</v>
      </c>
      <c r="I20" s="3">
        <f t="shared" si="9"/>
        <v>6</v>
      </c>
      <c r="J20" s="3">
        <f t="shared" si="10"/>
        <v>0</v>
      </c>
      <c r="K20">
        <f t="shared" si="11"/>
        <v>8</v>
      </c>
      <c r="L20" s="3">
        <f t="shared" si="12"/>
        <v>8</v>
      </c>
      <c r="M20" s="3">
        <f t="shared" si="13"/>
        <v>0</v>
      </c>
      <c r="N20" s="3">
        <f t="shared" si="14"/>
        <v>0</v>
      </c>
      <c r="O20">
        <f t="shared" si="15"/>
        <v>5</v>
      </c>
      <c r="P20" s="3">
        <f t="shared" si="16"/>
        <v>2</v>
      </c>
      <c r="Q20" s="3">
        <f t="shared" si="17"/>
        <v>3</v>
      </c>
      <c r="R20" s="3">
        <f t="shared" si="18"/>
        <v>0</v>
      </c>
      <c r="S20">
        <f t="shared" si="19"/>
        <v>0</v>
      </c>
      <c r="T20" s="3">
        <f t="shared" si="20"/>
        <v>0</v>
      </c>
      <c r="U20" s="3">
        <f t="shared" si="0"/>
        <v>0</v>
      </c>
      <c r="V20" s="3">
        <f t="shared" si="1"/>
        <v>0</v>
      </c>
      <c r="W20" s="3">
        <f t="shared" si="21"/>
        <v>12</v>
      </c>
      <c r="X20" s="4">
        <f t="shared" si="22"/>
        <v>10</v>
      </c>
      <c r="Y20" s="4">
        <f t="shared" si="23"/>
        <v>3</v>
      </c>
      <c r="Z20" s="4">
        <f t="shared" si="24"/>
        <v>3</v>
      </c>
      <c r="AA20">
        <f t="shared" si="25"/>
        <v>3</v>
      </c>
      <c r="AB20">
        <f t="shared" si="26"/>
        <v>2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6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1</v>
      </c>
      <c r="T21" s="3">
        <f t="shared" si="20"/>
        <v>1</v>
      </c>
      <c r="U21" s="3">
        <f t="shared" si="0"/>
        <v>0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12</v>
      </c>
      <c r="PT21" s="3">
        <f t="shared" si="34"/>
        <v>8</v>
      </c>
      <c r="PU21" s="3">
        <f t="shared" si="35"/>
        <v>4</v>
      </c>
      <c r="PV21">
        <f t="shared" si="2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1514</v>
      </c>
      <c r="C22">
        <f t="shared" si="3"/>
        <v>720</v>
      </c>
      <c r="D22">
        <f t="shared" si="4"/>
        <v>424</v>
      </c>
      <c r="E22">
        <f t="shared" si="5"/>
        <v>0</v>
      </c>
      <c r="F22">
        <f t="shared" si="6"/>
        <v>370</v>
      </c>
      <c r="G22">
        <f t="shared" si="7"/>
        <v>19</v>
      </c>
      <c r="H22" s="3">
        <f t="shared" si="8"/>
        <v>19</v>
      </c>
      <c r="I22" s="3">
        <f t="shared" si="9"/>
        <v>0</v>
      </c>
      <c r="J22" s="3">
        <f t="shared" si="10"/>
        <v>0</v>
      </c>
      <c r="K22">
        <f t="shared" si="11"/>
        <v>8</v>
      </c>
      <c r="L22" s="3">
        <f t="shared" si="12"/>
        <v>8</v>
      </c>
      <c r="M22" s="3">
        <f t="shared" si="13"/>
        <v>0</v>
      </c>
      <c r="N22" s="3">
        <f t="shared" si="14"/>
        <v>0</v>
      </c>
      <c r="O22">
        <f t="shared" si="15"/>
        <v>5</v>
      </c>
      <c r="P22" s="3">
        <f t="shared" si="16"/>
        <v>5</v>
      </c>
      <c r="Q22" s="3">
        <f t="shared" si="17"/>
        <v>0</v>
      </c>
      <c r="R22" s="3">
        <f t="shared" si="18"/>
        <v>0</v>
      </c>
      <c r="S22">
        <f t="shared" si="19"/>
        <v>0</v>
      </c>
      <c r="T22" s="3">
        <f t="shared" si="20"/>
        <v>0</v>
      </c>
      <c r="U22" s="3">
        <f t="shared" si="0"/>
        <v>0</v>
      </c>
      <c r="V22" s="3">
        <f t="shared" si="1"/>
        <v>0</v>
      </c>
      <c r="W22" s="3">
        <f t="shared" si="21"/>
        <v>6</v>
      </c>
      <c r="X22" s="4">
        <f t="shared" si="22"/>
        <v>3</v>
      </c>
      <c r="Y22" s="4">
        <f t="shared" si="23"/>
        <v>3</v>
      </c>
      <c r="Z22" s="4">
        <f t="shared" si="24"/>
        <v>3</v>
      </c>
      <c r="AA22">
        <f t="shared" si="25"/>
        <v>1</v>
      </c>
      <c r="AB22">
        <f t="shared" si="26"/>
        <v>2</v>
      </c>
      <c r="AC22">
        <f t="shared" si="27"/>
        <v>2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6</v>
      </c>
    </row>
    <row r="23" spans="1:439" x14ac:dyDescent="0.2">
      <c r="A23" s="2" t="s">
        <v>132</v>
      </c>
      <c r="B23">
        <f t="shared" si="37"/>
        <v>180</v>
      </c>
      <c r="C23">
        <f t="shared" si="3"/>
        <v>0</v>
      </c>
      <c r="D23">
        <f t="shared" si="4"/>
        <v>0</v>
      </c>
      <c r="E23">
        <f t="shared" si="5"/>
        <v>180</v>
      </c>
      <c r="F23">
        <f t="shared" si="6"/>
        <v>0</v>
      </c>
      <c r="G23">
        <f t="shared" si="7"/>
        <v>2</v>
      </c>
      <c r="H23" s="3">
        <f t="shared" si="8"/>
        <v>2</v>
      </c>
      <c r="I23" s="3">
        <f t="shared" si="9"/>
        <v>0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2</v>
      </c>
      <c r="T23" s="3">
        <f t="shared" si="20"/>
        <v>2</v>
      </c>
      <c r="U23" s="3">
        <f t="shared" si="0"/>
        <v>0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HD23" t="s">
        <v>139</v>
      </c>
      <c r="HH23" t="s">
        <v>139</v>
      </c>
      <c r="HL23" t="s">
        <v>139</v>
      </c>
      <c r="HP23" t="s">
        <v>139</v>
      </c>
      <c r="IU23">
        <v>90</v>
      </c>
      <c r="IV23" t="s">
        <v>110</v>
      </c>
      <c r="ME23">
        <v>90</v>
      </c>
      <c r="MF23" t="s">
        <v>110</v>
      </c>
      <c r="PS23" s="3">
        <f t="shared" si="33"/>
        <v>12</v>
      </c>
      <c r="PT23" s="3">
        <f t="shared" si="34"/>
        <v>8</v>
      </c>
      <c r="PU23" s="3">
        <f t="shared" si="35"/>
        <v>4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1085</v>
      </c>
      <c r="C24">
        <f t="shared" si="3"/>
        <v>630</v>
      </c>
      <c r="D24">
        <f t="shared" si="4"/>
        <v>275</v>
      </c>
      <c r="E24">
        <f t="shared" si="5"/>
        <v>0</v>
      </c>
      <c r="F24">
        <f t="shared" si="6"/>
        <v>180</v>
      </c>
      <c r="G24">
        <f t="shared" si="7"/>
        <v>15</v>
      </c>
      <c r="H24" s="3">
        <f t="shared" si="8"/>
        <v>12</v>
      </c>
      <c r="I24" s="3">
        <f t="shared" si="9"/>
        <v>3</v>
      </c>
      <c r="J24" s="3">
        <f t="shared" si="10"/>
        <v>0</v>
      </c>
      <c r="K24">
        <f t="shared" si="11"/>
        <v>7</v>
      </c>
      <c r="L24" s="3">
        <f t="shared" si="12"/>
        <v>7</v>
      </c>
      <c r="M24" s="3">
        <f t="shared" si="13"/>
        <v>0</v>
      </c>
      <c r="N24" s="3">
        <f t="shared" si="14"/>
        <v>0</v>
      </c>
      <c r="O24">
        <f t="shared" si="15"/>
        <v>4</v>
      </c>
      <c r="P24" s="3">
        <f t="shared" si="16"/>
        <v>3</v>
      </c>
      <c r="Q24" s="3">
        <f t="shared" si="17"/>
        <v>1</v>
      </c>
      <c r="R24" s="3">
        <f t="shared" si="18"/>
        <v>0</v>
      </c>
      <c r="S24">
        <f t="shared" si="19"/>
        <v>0</v>
      </c>
      <c r="T24" s="3">
        <f t="shared" si="20"/>
        <v>0</v>
      </c>
      <c r="U24" s="3">
        <f t="shared" si="0"/>
        <v>0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4</v>
      </c>
    </row>
    <row r="25" spans="1:439" x14ac:dyDescent="0.2">
      <c r="A25" s="2" t="s">
        <v>137</v>
      </c>
      <c r="B25">
        <f t="shared" si="37"/>
        <v>577</v>
      </c>
      <c r="C25">
        <f t="shared" si="3"/>
        <v>77</v>
      </c>
      <c r="D25">
        <f t="shared" si="4"/>
        <v>275</v>
      </c>
      <c r="E25">
        <f t="shared" si="5"/>
        <v>90</v>
      </c>
      <c r="F25">
        <f t="shared" si="6"/>
        <v>135</v>
      </c>
      <c r="G25">
        <f t="shared" si="7"/>
        <v>15</v>
      </c>
      <c r="H25" s="3">
        <f t="shared" si="8"/>
        <v>4</v>
      </c>
      <c r="I25" s="3">
        <f t="shared" si="9"/>
        <v>11</v>
      </c>
      <c r="J25" s="3">
        <f t="shared" si="10"/>
        <v>0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4</v>
      </c>
      <c r="P25" s="3">
        <f t="shared" si="16"/>
        <v>3</v>
      </c>
      <c r="Q25" s="3">
        <f t="shared" si="17"/>
        <v>1</v>
      </c>
      <c r="R25" s="3">
        <f t="shared" si="18"/>
        <v>0</v>
      </c>
      <c r="S25">
        <f t="shared" si="19"/>
        <v>1</v>
      </c>
      <c r="T25" s="3">
        <f t="shared" si="20"/>
        <v>1</v>
      </c>
      <c r="U25" s="3">
        <f t="shared" si="0"/>
        <v>0</v>
      </c>
      <c r="V25" s="3">
        <f t="shared" si="1"/>
        <v>0</v>
      </c>
      <c r="W25" s="3">
        <f t="shared" si="21"/>
        <v>5</v>
      </c>
      <c r="X25" s="4">
        <f t="shared" si="22"/>
        <v>4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0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IY25">
        <v>90</v>
      </c>
      <c r="IZ25" t="s">
        <v>110</v>
      </c>
      <c r="PS25" s="3">
        <f t="shared" si="33"/>
        <v>3</v>
      </c>
      <c r="PT25" s="3">
        <f t="shared" si="34"/>
        <v>2</v>
      </c>
      <c r="PU25" s="3">
        <f t="shared" si="35"/>
        <v>1</v>
      </c>
      <c r="PV25">
        <f t="shared" si="2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676</v>
      </c>
      <c r="C26">
        <f t="shared" si="3"/>
        <v>44</v>
      </c>
      <c r="D26">
        <f t="shared" si="4"/>
        <v>137</v>
      </c>
      <c r="E26">
        <f t="shared" si="5"/>
        <v>270</v>
      </c>
      <c r="F26">
        <f t="shared" si="6"/>
        <v>225</v>
      </c>
      <c r="G26">
        <f t="shared" si="7"/>
        <v>16</v>
      </c>
      <c r="H26" s="3">
        <f t="shared" si="8"/>
        <v>7</v>
      </c>
      <c r="I26" s="3">
        <f t="shared" si="9"/>
        <v>9</v>
      </c>
      <c r="J26" s="3">
        <f t="shared" si="10"/>
        <v>0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3</v>
      </c>
      <c r="P26" s="3">
        <f t="shared" si="16"/>
        <v>2</v>
      </c>
      <c r="Q26" s="3">
        <f t="shared" si="17"/>
        <v>1</v>
      </c>
      <c r="R26" s="3">
        <f t="shared" si="18"/>
        <v>0</v>
      </c>
      <c r="S26">
        <f t="shared" si="19"/>
        <v>3</v>
      </c>
      <c r="T26" s="3">
        <f t="shared" si="20"/>
        <v>3</v>
      </c>
      <c r="U26" s="3">
        <f t="shared" si="0"/>
        <v>0</v>
      </c>
      <c r="V26" s="3">
        <f t="shared" si="1"/>
        <v>0</v>
      </c>
      <c r="W26" s="3">
        <f t="shared" si="21"/>
        <v>1</v>
      </c>
      <c r="X26" s="4">
        <f t="shared" si="22"/>
        <v>0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0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PS26" s="3">
        <f t="shared" si="33"/>
        <v>6</v>
      </c>
      <c r="PT26" s="3">
        <f t="shared" si="34"/>
        <v>4</v>
      </c>
      <c r="PU26" s="3">
        <f t="shared" si="35"/>
        <v>2</v>
      </c>
      <c r="PV26">
        <f t="shared" si="2"/>
        <v>0</v>
      </c>
      <c r="PW26">
        <f t="shared" si="36"/>
        <v>6</v>
      </c>
    </row>
    <row r="27" spans="1:439" x14ac:dyDescent="0.2">
      <c r="A27" s="2" t="s">
        <v>134</v>
      </c>
      <c r="B27">
        <f t="shared" si="37"/>
        <v>540</v>
      </c>
      <c r="C27">
        <f t="shared" si="3"/>
        <v>270</v>
      </c>
      <c r="D27">
        <f t="shared" si="4"/>
        <v>270</v>
      </c>
      <c r="E27">
        <f t="shared" si="5"/>
        <v>0</v>
      </c>
      <c r="F27">
        <f t="shared" si="6"/>
        <v>0</v>
      </c>
      <c r="G27">
        <f t="shared" si="7"/>
        <v>6</v>
      </c>
      <c r="H27" s="3">
        <f t="shared" si="8"/>
        <v>6</v>
      </c>
      <c r="I27" s="3">
        <f t="shared" si="9"/>
        <v>0</v>
      </c>
      <c r="J27" s="3">
        <f t="shared" si="10"/>
        <v>0</v>
      </c>
      <c r="K27">
        <f t="shared" si="11"/>
        <v>3</v>
      </c>
      <c r="L27" s="3">
        <f t="shared" si="12"/>
        <v>3</v>
      </c>
      <c r="M27" s="3">
        <f t="shared" si="13"/>
        <v>0</v>
      </c>
      <c r="N27" s="3">
        <f t="shared" si="14"/>
        <v>0</v>
      </c>
      <c r="O27">
        <f t="shared" si="15"/>
        <v>3</v>
      </c>
      <c r="P27" s="3">
        <f t="shared" si="16"/>
        <v>3</v>
      </c>
      <c r="Q27" s="3">
        <f t="shared" si="17"/>
        <v>0</v>
      </c>
      <c r="R27" s="3">
        <f t="shared" si="18"/>
        <v>0</v>
      </c>
      <c r="S27">
        <f t="shared" si="19"/>
        <v>0</v>
      </c>
      <c r="T27" s="3">
        <f t="shared" si="20"/>
        <v>0</v>
      </c>
      <c r="U27" s="3">
        <f t="shared" si="0"/>
        <v>0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0</v>
      </c>
    </row>
    <row r="28" spans="1:439" x14ac:dyDescent="0.2">
      <c r="A28" s="2" t="s">
        <v>141</v>
      </c>
      <c r="B28">
        <f t="shared" si="37"/>
        <v>744</v>
      </c>
      <c r="C28">
        <f t="shared" si="3"/>
        <v>344</v>
      </c>
      <c r="D28">
        <f t="shared" si="4"/>
        <v>310</v>
      </c>
      <c r="E28">
        <f t="shared" si="5"/>
        <v>90</v>
      </c>
      <c r="F28">
        <f t="shared" si="6"/>
        <v>0</v>
      </c>
      <c r="G28">
        <f t="shared" si="7"/>
        <v>10</v>
      </c>
      <c r="H28" s="3">
        <f t="shared" si="8"/>
        <v>9</v>
      </c>
      <c r="I28" s="3">
        <f t="shared" si="9"/>
        <v>1</v>
      </c>
      <c r="J28" s="3">
        <f t="shared" si="10"/>
        <v>0</v>
      </c>
      <c r="K28">
        <f t="shared" si="11"/>
        <v>5</v>
      </c>
      <c r="L28" s="3">
        <f t="shared" si="12"/>
        <v>4</v>
      </c>
      <c r="M28" s="3">
        <f t="shared" si="13"/>
        <v>1</v>
      </c>
      <c r="N28" s="3">
        <f t="shared" si="14"/>
        <v>0</v>
      </c>
      <c r="O28">
        <f t="shared" si="15"/>
        <v>4</v>
      </c>
      <c r="P28" s="3">
        <f t="shared" si="16"/>
        <v>4</v>
      </c>
      <c r="Q28" s="3">
        <f t="shared" si="17"/>
        <v>0</v>
      </c>
      <c r="R28" s="3">
        <f t="shared" si="18"/>
        <v>0</v>
      </c>
      <c r="S28">
        <f t="shared" si="19"/>
        <v>1</v>
      </c>
      <c r="T28" s="3">
        <f t="shared" si="20"/>
        <v>1</v>
      </c>
      <c r="U28" s="3">
        <f t="shared" si="0"/>
        <v>0</v>
      </c>
      <c r="V28" s="3">
        <f t="shared" si="1"/>
        <v>0</v>
      </c>
      <c r="W28" s="3">
        <f t="shared" si="21"/>
        <v>0</v>
      </c>
      <c r="X28" s="4">
        <f t="shared" si="22"/>
        <v>0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0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IU28">
        <v>90</v>
      </c>
      <c r="IV28" t="s">
        <v>110</v>
      </c>
      <c r="PS28" s="3">
        <f t="shared" si="33"/>
        <v>1</v>
      </c>
      <c r="PT28" s="3">
        <f t="shared" si="34"/>
        <v>0</v>
      </c>
      <c r="PU28" s="3">
        <f t="shared" si="35"/>
        <v>1</v>
      </c>
      <c r="PV28">
        <f t="shared" si="2"/>
        <v>0</v>
      </c>
      <c r="PW28">
        <f t="shared" si="36"/>
        <v>0</v>
      </c>
    </row>
    <row r="29" spans="1:439" x14ac:dyDescent="0.2">
      <c r="A29" s="2" t="s">
        <v>142</v>
      </c>
      <c r="B29">
        <f t="shared" si="37"/>
        <v>225</v>
      </c>
      <c r="C29">
        <f t="shared" si="3"/>
        <v>135</v>
      </c>
      <c r="D29">
        <f t="shared" si="4"/>
        <v>90</v>
      </c>
      <c r="E29">
        <f t="shared" si="5"/>
        <v>0</v>
      </c>
      <c r="F29">
        <f t="shared" si="6"/>
        <v>0</v>
      </c>
      <c r="G29">
        <f t="shared" si="7"/>
        <v>3</v>
      </c>
      <c r="H29" s="3">
        <f t="shared" si="8"/>
        <v>3</v>
      </c>
      <c r="I29" s="3">
        <f t="shared" si="9"/>
        <v>0</v>
      </c>
      <c r="J29" s="3">
        <f t="shared" si="10"/>
        <v>0</v>
      </c>
      <c r="K29">
        <f t="shared" si="11"/>
        <v>2</v>
      </c>
      <c r="L29" s="3">
        <f t="shared" si="12"/>
        <v>2</v>
      </c>
      <c r="M29" s="3">
        <f t="shared" si="13"/>
        <v>0</v>
      </c>
      <c r="N29" s="3">
        <f t="shared" si="14"/>
        <v>0</v>
      </c>
      <c r="O29">
        <f t="shared" si="15"/>
        <v>1</v>
      </c>
      <c r="P29" s="3">
        <f t="shared" si="16"/>
        <v>1</v>
      </c>
      <c r="Q29" s="3">
        <f t="shared" si="17"/>
        <v>0</v>
      </c>
      <c r="R29" s="3">
        <f t="shared" si="18"/>
        <v>0</v>
      </c>
      <c r="S29">
        <f t="shared" si="19"/>
        <v>0</v>
      </c>
      <c r="T29" s="3">
        <f t="shared" si="20"/>
        <v>0</v>
      </c>
      <c r="U29" s="3">
        <f t="shared" si="0"/>
        <v>0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2"/>
        <v>0</v>
      </c>
      <c r="PW29">
        <f t="shared" si="36"/>
        <v>0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2025-11-17T13:55:50Z</dcterms:modified>
</cp:coreProperties>
</file>