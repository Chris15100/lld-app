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AA5B07A9-6F6C-8A4A-AF49-68B8FE5E1D97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S32" i="1" l="1"/>
  <c r="PT32" i="1"/>
  <c r="PU32" i="1"/>
  <c r="PV32" i="1"/>
  <c r="B32" i="1"/>
  <c r="C32" i="1"/>
  <c r="D32" i="1"/>
  <c r="E32" i="1"/>
  <c r="F32" i="1"/>
  <c r="H32" i="1"/>
  <c r="I32" i="1"/>
  <c r="J32" i="1"/>
  <c r="L32" i="1"/>
  <c r="M32" i="1"/>
  <c r="N32" i="1"/>
  <c r="P32" i="1"/>
  <c r="O32" i="1" s="1"/>
  <c r="Q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J31" i="1"/>
  <c r="L31" i="1"/>
  <c r="M31" i="1"/>
  <c r="N31" i="1"/>
  <c r="P31" i="1"/>
  <c r="O31" i="1" s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M30" i="1"/>
  <c r="N30" i="1"/>
  <c r="P30" i="1"/>
  <c r="O30" i="1" s="1"/>
  <c r="Q30" i="1"/>
  <c r="R30" i="1"/>
  <c r="T30" i="1"/>
  <c r="S30" i="1" s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S32" i="1" l="1"/>
  <c r="G31" i="1"/>
  <c r="K32" i="1"/>
  <c r="S8" i="1"/>
  <c r="G32" i="1"/>
  <c r="PW32" i="1" s="1"/>
  <c r="K30" i="1"/>
  <c r="K31" i="1"/>
  <c r="PW31" i="1" s="1"/>
  <c r="G30" i="1"/>
  <c r="PW30" i="1" s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<sst xmlns="http://schemas.openxmlformats.org/spreadsheetml/2006/main" count="1449" uniqueCount="152">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</sst>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workbookViewId="0">
      <pane xSplit="1" topLeftCell="GH1" activePane="topRight" state="frozen"/>
      <selection pane="topRight" activeCell="GR13" sqref="GR13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2175</v>
      </c>
      <c r="C2">
        <f>SUM(CY2,DC2,DG2,DK2,DO2,DS2,DW2,EA2,EE2,EI2,EM2,EQ2,EU2,EY2,FC2,FG2,FK2,FO2,FS2,FW2,GA2,GE2,GI2,GM2,GQ2,GU2)</f>
        <v>1890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26</v>
      </c>
      <c r="H2" s="3">
        <f>COUNTIF(AI2:PR2,"T")</f>
        <v>26</v>
      </c>
      <c r="I2" s="3">
        <f>COUNTIF(AI2:PR2,"R")</f>
        <v>0</v>
      </c>
      <c r="J2" s="3">
        <f>COUNTIF(AI2:PR2,"NR")</f>
        <v>6</v>
      </c>
      <c r="K2">
        <f>SUM(L2:M2)</f>
        <v>21</v>
      </c>
      <c r="L2" s="3">
        <f>COUNTIF(CY2:GX2,"T")</f>
        <v>21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1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1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1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M2">
        <v>90</v>
      </c>
      <c r="EN2" t="s">
        <v>110</v>
      </c>
      <c r="ER2" t="s">
        <v>139</v>
      </c>
      <c r="EV2" t="s">
        <v>139</v>
      </c>
      <c r="EY2">
        <v>90</v>
      </c>
      <c r="EZ2" t="s">
        <v>110</v>
      </c>
      <c r="FC2">
        <v>90</v>
      </c>
      <c r="FD2" t="s">
        <v>110</v>
      </c>
      <c r="FG2">
        <v>90</v>
      </c>
      <c r="FH2" t="s">
        <v>110</v>
      </c>
      <c r="FK2">
        <v>90</v>
      </c>
      <c r="FL2" t="s">
        <v>110</v>
      </c>
      <c r="FO2">
        <v>90</v>
      </c>
      <c r="FP2" t="s">
        <v>110</v>
      </c>
      <c r="FS2">
        <v>90</v>
      </c>
      <c r="FT2" t="s">
        <v>110</v>
      </c>
      <c r="FW2">
        <v>90</v>
      </c>
      <c r="FX2" t="s">
        <v>110</v>
      </c>
      <c r="GA2">
        <v>90</v>
      </c>
      <c r="GB2" t="s">
        <v>110</v>
      </c>
      <c r="GE2">
        <v>90</v>
      </c>
      <c r="GF2" t="s">
        <v>110</v>
      </c>
      <c r="GI2">
        <v>90</v>
      </c>
      <c r="GJ2" t="s">
        <v>110</v>
      </c>
      <c r="GL2">
        <v>1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3</v>
      </c>
      <c r="PT2" s="3">
        <f>COUNTIF(CY2:GX2,"HG")</f>
        <v>2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900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810</v>
      </c>
      <c r="F3">
        <f t="shared" ref="F3:F30" si="5">SUM(AI3,AM3,AQ3,AU3,AY3,BC3,BG3,BK3,BO3,BS3,BW3,CA3,CE3,CI3,CM3,CQ3,CU3)</f>
        <v>90</v>
      </c>
      <c r="G3">
        <f t="shared" ref="G3:G29" si="6">SUM(H3:I3)</f>
        <v>11</v>
      </c>
      <c r="H3" s="3">
        <f t="shared" ref="H3:H29" si="7">COUNTIF(AI3:PR3,"T")</f>
        <v>9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9</v>
      </c>
      <c r="T3" s="3">
        <f t="shared" ref="T3:T29" si="19">COUNTIF(IU3:PR3,"T")</f>
        <v>9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N3" t="s">
        <v>139</v>
      </c>
      <c r="ER3" t="s">
        <v>139</v>
      </c>
      <c r="EV3" t="s">
        <v>139</v>
      </c>
      <c r="EZ3" t="s">
        <v>139</v>
      </c>
      <c r="FD3" t="s">
        <v>139</v>
      </c>
      <c r="FH3" t="s">
        <v>139</v>
      </c>
      <c r="FL3" t="s">
        <v>139</v>
      </c>
      <c r="FP3" t="s">
        <v>139</v>
      </c>
      <c r="FT3" t="s">
        <v>139</v>
      </c>
      <c r="FX3" t="s">
        <v>139</v>
      </c>
      <c r="GB3" t="s">
        <v>139</v>
      </c>
      <c r="GF3" t="s">
        <v>139</v>
      </c>
      <c r="GJ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KI3">
        <v>90</v>
      </c>
      <c r="KJ3" t="s">
        <v>110</v>
      </c>
      <c r="KM3">
        <v>90</v>
      </c>
      <c r="KN3" t="s">
        <v>110</v>
      </c>
      <c r="KQ3">
        <v>90</v>
      </c>
      <c r="KR3" t="s">
        <v>110</v>
      </c>
      <c r="KY3">
        <v>90</v>
      </c>
      <c r="KZ3" t="s">
        <v>110</v>
      </c>
      <c r="LG3">
        <v>90</v>
      </c>
      <c r="LH3" t="s">
        <v>110</v>
      </c>
      <c r="ME3">
        <v>90</v>
      </c>
      <c r="MF3" t="s">
        <v>110</v>
      </c>
      <c r="PS3" s="3">
        <f t="shared" ref="PS3:PS29" si="33">COUNTIF(AI3:PR3,"HG")</f>
        <v>29</v>
      </c>
      <c r="PT3" s="3">
        <f t="shared" ref="PT3:PT29" si="34">COUNTIF(CY3:GX3,"HG")</f>
        <v>23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1515</v>
      </c>
      <c r="C4">
        <f t="shared" si="2"/>
        <v>180</v>
      </c>
      <c r="D4">
        <f t="shared" si="3"/>
        <v>630</v>
      </c>
      <c r="E4">
        <f t="shared" si="4"/>
        <v>450</v>
      </c>
      <c r="F4">
        <f t="shared" si="5"/>
        <v>255</v>
      </c>
      <c r="G4">
        <f t="shared" ref="G4" si="38">SUM(H4:I4)</f>
        <v>19</v>
      </c>
      <c r="H4" s="3">
        <f t="shared" ref="H4" si="39">COUNTIF(AI4:PR4,"T")</f>
        <v>16</v>
      </c>
      <c r="I4" s="3">
        <f t="shared" ref="I4" si="40">COUNTIF(AI4:PR4,"R")</f>
        <v>3</v>
      </c>
      <c r="J4" s="3">
        <f t="shared" ref="J4" si="41">COUNTIF(AI4:PR4,"NR")</f>
        <v>12</v>
      </c>
      <c r="K4">
        <f t="shared" ref="K4" si="42">SUM(L4:M4)</f>
        <v>2</v>
      </c>
      <c r="L4" s="3">
        <f t="shared" ref="L4" si="43">COUNTIF(CY4:GX4,"T")</f>
        <v>2</v>
      </c>
      <c r="M4" s="3">
        <f t="shared" ref="M4" si="44">COUNTIF(CY4:GX4,"R")</f>
        <v>0</v>
      </c>
      <c r="N4" s="3">
        <f t="shared" ref="N4" si="45">COUNTIF(CY4:GX4,"NR")</f>
        <v>12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5</v>
      </c>
      <c r="T4" s="3">
        <f t="shared" si="19"/>
        <v>5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N4" t="s">
        <v>138</v>
      </c>
      <c r="EQ4">
        <v>90</v>
      </c>
      <c r="ER4" t="s">
        <v>110</v>
      </c>
      <c r="EU4">
        <v>90</v>
      </c>
      <c r="EV4" t="s">
        <v>110</v>
      </c>
      <c r="EZ4" t="s">
        <v>138</v>
      </c>
      <c r="FD4" t="s">
        <v>139</v>
      </c>
      <c r="FH4" t="s">
        <v>139</v>
      </c>
      <c r="FL4" t="s">
        <v>138</v>
      </c>
      <c r="FP4" t="s">
        <v>139</v>
      </c>
      <c r="FT4" t="s">
        <v>138</v>
      </c>
      <c r="FX4" t="s">
        <v>139</v>
      </c>
      <c r="GB4" t="s">
        <v>138</v>
      </c>
      <c r="GF4" t="s">
        <v>139</v>
      </c>
      <c r="GJ4" t="s">
        <v>138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KU4">
        <v>90</v>
      </c>
      <c r="KV4" t="s">
        <v>110</v>
      </c>
      <c r="LC4">
        <v>90</v>
      </c>
      <c r="LD4" t="s">
        <v>110</v>
      </c>
      <c r="PS4" s="3">
        <f t="shared" ref="PS4" si="63">COUNTIF(AI4:PR4,"HG")</f>
        <v>9</v>
      </c>
      <c r="PT4" s="3">
        <f t="shared" ref="PT4" si="64">COUNTIF(CY4:GX4,"HG")</f>
        <v>9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1841</v>
      </c>
      <c r="C5">
        <f t="shared" si="2"/>
        <v>1231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27</v>
      </c>
      <c r="H5" s="3">
        <f t="shared" si="7"/>
        <v>22</v>
      </c>
      <c r="I5" s="3">
        <f t="shared" si="8"/>
        <v>5</v>
      </c>
      <c r="J5" s="3">
        <f t="shared" si="9"/>
        <v>0</v>
      </c>
      <c r="K5">
        <f t="shared" si="10"/>
        <v>17</v>
      </c>
      <c r="L5" s="3">
        <f t="shared" si="11"/>
        <v>14</v>
      </c>
      <c r="M5" s="3">
        <f t="shared" si="12"/>
        <v>3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1</v>
      </c>
      <c r="X5" s="4">
        <f t="shared" si="22"/>
        <v>1</v>
      </c>
      <c r="Y5" s="4">
        <f t="shared" si="23"/>
        <v>0</v>
      </c>
      <c r="Z5" s="4">
        <f t="shared" si="24"/>
        <v>0</v>
      </c>
      <c r="AA5">
        <f t="shared" si="25"/>
        <v>1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M5">
        <v>90</v>
      </c>
      <c r="EN5" t="s">
        <v>110</v>
      </c>
      <c r="EQ5">
        <v>90</v>
      </c>
      <c r="ER5" t="s">
        <v>110</v>
      </c>
      <c r="EU5">
        <v>90</v>
      </c>
      <c r="EV5" t="s">
        <v>110</v>
      </c>
      <c r="EY5">
        <v>1</v>
      </c>
      <c r="EZ5" t="s">
        <v>136</v>
      </c>
      <c r="FC5">
        <v>90</v>
      </c>
      <c r="FD5" t="s">
        <v>110</v>
      </c>
      <c r="FG5">
        <v>1</v>
      </c>
      <c r="FH5" t="s">
        <v>136</v>
      </c>
      <c r="FK5">
        <v>90</v>
      </c>
      <c r="FL5" t="s">
        <v>110</v>
      </c>
      <c r="FO5">
        <v>90</v>
      </c>
      <c r="FP5" t="s">
        <v>110</v>
      </c>
      <c r="FS5">
        <v>90</v>
      </c>
      <c r="FT5" t="s">
        <v>110</v>
      </c>
      <c r="FW5">
        <v>90</v>
      </c>
      <c r="FX5" t="s">
        <v>110</v>
      </c>
      <c r="FY5">
        <v>1</v>
      </c>
      <c r="GA5">
        <v>8</v>
      </c>
      <c r="GB5" t="s">
        <v>136</v>
      </c>
      <c r="GE5">
        <v>90</v>
      </c>
      <c r="GF5" t="s">
        <v>110</v>
      </c>
      <c r="GI5">
        <v>90</v>
      </c>
      <c r="GJ5" t="s">
        <v>110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606</v>
      </c>
      <c r="C6">
        <f t="shared" si="2"/>
        <v>0</v>
      </c>
      <c r="D6">
        <f t="shared" si="3"/>
        <v>0</v>
      </c>
      <c r="E6">
        <f t="shared" si="4"/>
        <v>336</v>
      </c>
      <c r="F6">
        <f t="shared" si="5"/>
        <v>270</v>
      </c>
      <c r="G6">
        <f t="shared" si="6"/>
        <v>10</v>
      </c>
      <c r="H6" s="3">
        <f t="shared" si="7"/>
        <v>6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4</v>
      </c>
      <c r="T6" s="3">
        <f t="shared" si="19"/>
        <v>4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N6" t="s">
        <v>139</v>
      </c>
      <c r="ER6" t="s">
        <v>139</v>
      </c>
      <c r="EV6" t="s">
        <v>139</v>
      </c>
      <c r="EZ6" t="s">
        <v>139</v>
      </c>
      <c r="FD6" t="s">
        <v>139</v>
      </c>
      <c r="FH6" t="s">
        <v>139</v>
      </c>
      <c r="FL6" t="s">
        <v>139</v>
      </c>
      <c r="FP6" t="s">
        <v>139</v>
      </c>
      <c r="FT6" t="s">
        <v>139</v>
      </c>
      <c r="FX6" t="s">
        <v>139</v>
      </c>
      <c r="GB6" t="s">
        <v>139</v>
      </c>
      <c r="GF6" t="s">
        <v>139</v>
      </c>
      <c r="GJ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KY6">
        <v>66</v>
      </c>
      <c r="KZ6" t="s">
        <v>110</v>
      </c>
      <c r="LC6">
        <v>90</v>
      </c>
      <c r="LD6" t="s">
        <v>110</v>
      </c>
      <c r="PS6" s="3">
        <f t="shared" si="33"/>
        <v>29</v>
      </c>
      <c r="PT6" s="3">
        <f t="shared" si="34"/>
        <v>22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2388</v>
      </c>
      <c r="C7">
        <f t="shared" si="2"/>
        <v>1543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29</v>
      </c>
      <c r="H7" s="3">
        <f t="shared" si="7"/>
        <v>28</v>
      </c>
      <c r="I7" s="3">
        <f t="shared" si="8"/>
        <v>1</v>
      </c>
      <c r="J7" s="3">
        <f t="shared" si="9"/>
        <v>0</v>
      </c>
      <c r="K7">
        <f t="shared" si="10"/>
        <v>18</v>
      </c>
      <c r="L7" s="3">
        <f t="shared" si="11"/>
        <v>18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3</v>
      </c>
      <c r="X7" s="4">
        <f t="shared" si="22"/>
        <v>3</v>
      </c>
      <c r="Y7" s="4">
        <f t="shared" si="23"/>
        <v>1</v>
      </c>
      <c r="Z7" s="4">
        <f t="shared" si="24"/>
        <v>1</v>
      </c>
      <c r="AA7">
        <f t="shared" si="25"/>
        <v>2</v>
      </c>
      <c r="AB7">
        <f t="shared" si="26"/>
        <v>1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M7">
        <v>90</v>
      </c>
      <c r="EN7" t="s">
        <v>110</v>
      </c>
      <c r="EO7">
        <v>1</v>
      </c>
      <c r="EQ7">
        <v>44</v>
      </c>
      <c r="ER7" t="s">
        <v>110</v>
      </c>
      <c r="EV7" t="s">
        <v>139</v>
      </c>
      <c r="EY7">
        <v>90</v>
      </c>
      <c r="EZ7" t="s">
        <v>110</v>
      </c>
      <c r="FC7">
        <v>90</v>
      </c>
      <c r="FD7" t="s">
        <v>110</v>
      </c>
      <c r="FG7">
        <v>90</v>
      </c>
      <c r="FH7" t="s">
        <v>110</v>
      </c>
      <c r="FK7">
        <v>90</v>
      </c>
      <c r="FL7" t="s">
        <v>110</v>
      </c>
      <c r="FO7">
        <v>90</v>
      </c>
      <c r="FP7" t="s">
        <v>110</v>
      </c>
      <c r="FQ7">
        <v>1</v>
      </c>
      <c r="FT7" t="s">
        <v>139</v>
      </c>
      <c r="FW7">
        <v>90</v>
      </c>
      <c r="FX7" t="s">
        <v>110</v>
      </c>
      <c r="GA7">
        <v>90</v>
      </c>
      <c r="GB7" t="s">
        <v>110</v>
      </c>
      <c r="GE7">
        <v>90</v>
      </c>
      <c r="GF7" t="s">
        <v>110</v>
      </c>
      <c r="GH7">
        <v>1</v>
      </c>
      <c r="GI7">
        <v>90</v>
      </c>
      <c r="GJ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5</v>
      </c>
      <c r="PT7" s="3">
        <f t="shared" si="34"/>
        <v>5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959</v>
      </c>
      <c r="C8">
        <f t="shared" si="2"/>
        <v>0</v>
      </c>
      <c r="D8">
        <f t="shared" si="3"/>
        <v>24</v>
      </c>
      <c r="E8">
        <f t="shared" si="4"/>
        <v>720</v>
      </c>
      <c r="F8">
        <f t="shared" si="5"/>
        <v>215</v>
      </c>
      <c r="G8">
        <f t="shared" si="6"/>
        <v>16</v>
      </c>
      <c r="H8" s="3">
        <f t="shared" si="7"/>
        <v>8</v>
      </c>
      <c r="I8" s="3">
        <f t="shared" si="8"/>
        <v>8</v>
      </c>
      <c r="J8" s="3">
        <f t="shared" si="9"/>
        <v>3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2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8</v>
      </c>
      <c r="T8" s="3">
        <f t="shared" si="19"/>
        <v>8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N8" t="s">
        <v>138</v>
      </c>
      <c r="ER8" t="s">
        <v>139</v>
      </c>
      <c r="EV8" t="s">
        <v>139</v>
      </c>
      <c r="EZ8" t="s">
        <v>139</v>
      </c>
      <c r="FD8" t="s">
        <v>139</v>
      </c>
      <c r="FH8" t="s">
        <v>139</v>
      </c>
      <c r="FL8" t="s">
        <v>139</v>
      </c>
      <c r="FP8" t="s">
        <v>139</v>
      </c>
      <c r="FT8" t="s">
        <v>139</v>
      </c>
      <c r="FX8" t="s">
        <v>139</v>
      </c>
      <c r="GB8" t="s">
        <v>139</v>
      </c>
      <c r="GF8" t="s">
        <v>139</v>
      </c>
      <c r="GJ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KM8">
        <v>90</v>
      </c>
      <c r="KN8" t="s">
        <v>110</v>
      </c>
      <c r="PS8" s="3">
        <f t="shared" si="33"/>
        <v>25</v>
      </c>
      <c r="PT8" s="3">
        <f t="shared" si="34"/>
        <v>21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2587</v>
      </c>
      <c r="C9">
        <f t="shared" si="2"/>
        <v>1831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34</v>
      </c>
      <c r="H9" s="3">
        <f t="shared" si="7"/>
        <v>29</v>
      </c>
      <c r="I9" s="3">
        <f t="shared" si="8"/>
        <v>5</v>
      </c>
      <c r="J9" s="3">
        <f t="shared" si="9"/>
        <v>0</v>
      </c>
      <c r="K9">
        <f t="shared" si="10"/>
        <v>22</v>
      </c>
      <c r="L9" s="3">
        <f t="shared" si="11"/>
        <v>20</v>
      </c>
      <c r="M9" s="3">
        <f t="shared" si="12"/>
        <v>2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0</v>
      </c>
      <c r="X9" s="4">
        <f t="shared" si="22"/>
        <v>0</v>
      </c>
      <c r="Y9" s="4">
        <f t="shared" si="23"/>
        <v>4</v>
      </c>
      <c r="Z9" s="4">
        <f t="shared" si="24"/>
        <v>3</v>
      </c>
      <c r="AA9">
        <f t="shared" si="25"/>
        <v>0</v>
      </c>
      <c r="AB9">
        <f t="shared" si="26"/>
        <v>1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M9">
        <v>5</v>
      </c>
      <c r="EN9" t="s">
        <v>136</v>
      </c>
      <c r="ER9" t="s">
        <v>139</v>
      </c>
      <c r="EU9">
        <v>85</v>
      </c>
      <c r="EV9" t="s">
        <v>110</v>
      </c>
      <c r="EY9">
        <v>90</v>
      </c>
      <c r="EZ9" t="s">
        <v>110</v>
      </c>
      <c r="FC9">
        <v>45</v>
      </c>
      <c r="FD9" t="s">
        <v>136</v>
      </c>
      <c r="FG9">
        <v>90</v>
      </c>
      <c r="FH9" t="s">
        <v>110</v>
      </c>
      <c r="FK9">
        <v>90</v>
      </c>
      <c r="FL9" t="s">
        <v>110</v>
      </c>
      <c r="FO9">
        <v>90</v>
      </c>
      <c r="FP9" t="s">
        <v>110</v>
      </c>
      <c r="FS9">
        <v>90</v>
      </c>
      <c r="FT9" t="s">
        <v>110</v>
      </c>
      <c r="FW9">
        <v>90</v>
      </c>
      <c r="FX9" t="s">
        <v>110</v>
      </c>
      <c r="FZ9">
        <v>1</v>
      </c>
      <c r="GA9">
        <v>90</v>
      </c>
      <c r="GB9" t="s">
        <v>110</v>
      </c>
      <c r="GE9">
        <v>90</v>
      </c>
      <c r="GF9" t="s">
        <v>110</v>
      </c>
      <c r="GI9">
        <v>90</v>
      </c>
      <c r="GJ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1764</v>
      </c>
      <c r="C10">
        <f t="shared" si="2"/>
        <v>1164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26</v>
      </c>
      <c r="H10" s="3">
        <f t="shared" si="7"/>
        <v>18</v>
      </c>
      <c r="I10" s="3">
        <f t="shared" si="8"/>
        <v>8</v>
      </c>
      <c r="J10" s="3">
        <f t="shared" si="9"/>
        <v>3</v>
      </c>
      <c r="K10">
        <f t="shared" si="10"/>
        <v>15</v>
      </c>
      <c r="L10" s="3">
        <f t="shared" si="11"/>
        <v>13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1</v>
      </c>
      <c r="Z10" s="4">
        <f t="shared" si="24"/>
        <v>1</v>
      </c>
      <c r="AA10">
        <f t="shared" si="25"/>
        <v>0</v>
      </c>
      <c r="AB10">
        <f t="shared" si="26"/>
        <v>1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M10">
        <v>79</v>
      </c>
      <c r="EN10" t="s">
        <v>110</v>
      </c>
      <c r="EQ10">
        <v>90</v>
      </c>
      <c r="ER10" t="s">
        <v>110</v>
      </c>
      <c r="EU10">
        <v>67</v>
      </c>
      <c r="EV10" t="s">
        <v>110</v>
      </c>
      <c r="EY10">
        <v>90</v>
      </c>
      <c r="EZ10" t="s">
        <v>110</v>
      </c>
      <c r="FC10">
        <v>90</v>
      </c>
      <c r="FD10" t="s">
        <v>110</v>
      </c>
      <c r="FG10">
        <v>90</v>
      </c>
      <c r="FH10" t="s">
        <v>110</v>
      </c>
      <c r="FK10">
        <v>90</v>
      </c>
      <c r="FL10" t="s">
        <v>110</v>
      </c>
      <c r="FN10">
        <v>1</v>
      </c>
      <c r="FO10">
        <v>90</v>
      </c>
      <c r="FP10" t="s">
        <v>110</v>
      </c>
      <c r="FS10">
        <v>90</v>
      </c>
      <c r="FT10" t="s">
        <v>110</v>
      </c>
      <c r="FX10" t="s">
        <v>139</v>
      </c>
      <c r="GA10">
        <v>90</v>
      </c>
      <c r="GB10" t="s">
        <v>110</v>
      </c>
      <c r="GE10">
        <v>73</v>
      </c>
      <c r="GF10" t="s">
        <v>110</v>
      </c>
      <c r="GI10">
        <v>90</v>
      </c>
      <c r="GJ10" t="s">
        <v>110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9</v>
      </c>
      <c r="PT10" s="3">
        <f t="shared" si="34"/>
        <v>6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1247</v>
      </c>
      <c r="C11">
        <f t="shared" si="2"/>
        <v>329</v>
      </c>
      <c r="D11">
        <f t="shared" si="3"/>
        <v>209</v>
      </c>
      <c r="E11">
        <f t="shared" si="4"/>
        <v>464</v>
      </c>
      <c r="F11">
        <f t="shared" si="5"/>
        <v>245</v>
      </c>
      <c r="G11">
        <f t="shared" si="6"/>
        <v>25</v>
      </c>
      <c r="H11" s="3">
        <f t="shared" si="7"/>
        <v>18</v>
      </c>
      <c r="I11" s="3">
        <f t="shared" si="8"/>
        <v>7</v>
      </c>
      <c r="J11" s="3">
        <f t="shared" si="9"/>
        <v>3</v>
      </c>
      <c r="K11">
        <f t="shared" si="10"/>
        <v>10</v>
      </c>
      <c r="L11" s="3">
        <f t="shared" si="11"/>
        <v>4</v>
      </c>
      <c r="M11" s="3">
        <f t="shared" si="12"/>
        <v>6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6</v>
      </c>
      <c r="T11" s="3">
        <f t="shared" si="19"/>
        <v>6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N11" t="s">
        <v>139</v>
      </c>
      <c r="ER11" t="s">
        <v>139</v>
      </c>
      <c r="EV11" t="s">
        <v>139</v>
      </c>
      <c r="EZ11" t="s">
        <v>139</v>
      </c>
      <c r="FD11" t="s">
        <v>139</v>
      </c>
      <c r="FH11" t="s">
        <v>139</v>
      </c>
      <c r="FL11" t="s">
        <v>139</v>
      </c>
      <c r="FP11" t="s">
        <v>139</v>
      </c>
      <c r="FT11" t="s">
        <v>139</v>
      </c>
      <c r="FW11">
        <v>1</v>
      </c>
      <c r="FX11" t="s">
        <v>136</v>
      </c>
      <c r="GB11" t="s">
        <v>139</v>
      </c>
      <c r="GE11">
        <v>17</v>
      </c>
      <c r="GF11" t="s">
        <v>136</v>
      </c>
      <c r="GI11">
        <v>1</v>
      </c>
      <c r="GJ11" t="s">
        <v>136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KM11">
        <v>90</v>
      </c>
      <c r="KN11" t="s">
        <v>110</v>
      </c>
      <c r="KQ11">
        <v>90</v>
      </c>
      <c r="KR11" t="s">
        <v>110</v>
      </c>
      <c r="KU11">
        <v>90</v>
      </c>
      <c r="KV11" t="s">
        <v>110</v>
      </c>
      <c r="LC11">
        <v>14</v>
      </c>
      <c r="LD11" t="s">
        <v>110</v>
      </c>
      <c r="PS11" s="3">
        <f t="shared" si="33"/>
        <v>14</v>
      </c>
      <c r="PT11" s="3">
        <f t="shared" si="34"/>
        <v>12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N13" t="s">
        <v>139</v>
      </c>
      <c r="ER13" t="s">
        <v>139</v>
      </c>
      <c r="EV13" t="s">
        <v>139</v>
      </c>
      <c r="EZ13" t="s">
        <v>139</v>
      </c>
      <c r="FD13" t="s">
        <v>139</v>
      </c>
      <c r="FH13" t="s">
        <v>139</v>
      </c>
      <c r="FL13" t="s">
        <v>139</v>
      </c>
      <c r="FP13" t="s">
        <v>139</v>
      </c>
      <c r="FT13" t="s">
        <v>139</v>
      </c>
      <c r="FX13" t="s">
        <v>139</v>
      </c>
      <c r="GB13" t="s">
        <v>139</v>
      </c>
      <c r="GF13" t="s">
        <v>139</v>
      </c>
      <c r="GJ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28</v>
      </c>
      <c r="PT13" s="3">
        <f t="shared" si="34"/>
        <v>21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2210</v>
      </c>
      <c r="C14">
        <f t="shared" si="2"/>
        <v>1112</v>
      </c>
      <c r="D14">
        <f t="shared" si="3"/>
        <v>483</v>
      </c>
      <c r="E14">
        <f t="shared" si="4"/>
        <v>270</v>
      </c>
      <c r="F14">
        <f t="shared" si="5"/>
        <v>345</v>
      </c>
      <c r="G14">
        <f t="shared" si="6"/>
        <v>37</v>
      </c>
      <c r="H14" s="3">
        <f t="shared" si="7"/>
        <v>23</v>
      </c>
      <c r="I14" s="3">
        <f t="shared" si="8"/>
        <v>14</v>
      </c>
      <c r="J14" s="3">
        <f t="shared" si="9"/>
        <v>2</v>
      </c>
      <c r="K14">
        <f t="shared" si="10"/>
        <v>20</v>
      </c>
      <c r="L14" s="3">
        <f t="shared" si="11"/>
        <v>12</v>
      </c>
      <c r="M14" s="3">
        <f t="shared" si="12"/>
        <v>8</v>
      </c>
      <c r="N14" s="3">
        <f t="shared" si="13"/>
        <v>2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3</v>
      </c>
      <c r="T14" s="3">
        <f t="shared" si="19"/>
        <v>3</v>
      </c>
      <c r="U14" s="3">
        <f t="shared" si="20"/>
        <v>0</v>
      </c>
      <c r="V14" s="3">
        <f t="shared" si="0"/>
        <v>0</v>
      </c>
      <c r="W14" s="3">
        <f t="shared" si="21"/>
        <v>5</v>
      </c>
      <c r="X14" s="4">
        <f t="shared" si="22"/>
        <v>5</v>
      </c>
      <c r="Y14" s="4">
        <f t="shared" si="23"/>
        <v>5</v>
      </c>
      <c r="Z14" s="4">
        <f t="shared" si="24"/>
        <v>5</v>
      </c>
      <c r="AA14">
        <f t="shared" si="25"/>
        <v>4</v>
      </c>
      <c r="AB14">
        <f t="shared" si="26"/>
        <v>4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M14">
        <v>29</v>
      </c>
      <c r="EN14" t="s">
        <v>136</v>
      </c>
      <c r="EQ14">
        <v>57</v>
      </c>
      <c r="ER14" t="s">
        <v>110</v>
      </c>
      <c r="EU14">
        <v>45</v>
      </c>
      <c r="EV14" t="s">
        <v>110</v>
      </c>
      <c r="EY14">
        <v>1</v>
      </c>
      <c r="EZ14" t="s">
        <v>136</v>
      </c>
      <c r="FC14">
        <v>7</v>
      </c>
      <c r="FD14" t="s">
        <v>136</v>
      </c>
      <c r="FG14">
        <v>18</v>
      </c>
      <c r="FH14" t="s">
        <v>136</v>
      </c>
      <c r="FK14">
        <v>38</v>
      </c>
      <c r="FL14" t="s">
        <v>136</v>
      </c>
      <c r="FO14">
        <v>22</v>
      </c>
      <c r="FP14" t="s">
        <v>136</v>
      </c>
      <c r="FT14" t="s">
        <v>138</v>
      </c>
      <c r="FX14" t="s">
        <v>138</v>
      </c>
      <c r="GA14">
        <v>8</v>
      </c>
      <c r="GB14" t="s">
        <v>136</v>
      </c>
      <c r="GE14">
        <v>90</v>
      </c>
      <c r="GF14" t="s">
        <v>110</v>
      </c>
      <c r="GG14">
        <v>1</v>
      </c>
      <c r="GI14">
        <v>89</v>
      </c>
      <c r="GJ14" t="s">
        <v>110</v>
      </c>
      <c r="GK14">
        <v>1</v>
      </c>
      <c r="GL14">
        <v>1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KU14">
        <v>90</v>
      </c>
      <c r="KV14" t="s">
        <v>110</v>
      </c>
      <c r="KY14">
        <v>90</v>
      </c>
      <c r="KZ14" t="s">
        <v>110</v>
      </c>
      <c r="LC14">
        <v>90</v>
      </c>
      <c r="LD14" t="s">
        <v>110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1573</v>
      </c>
      <c r="C15">
        <f t="shared" si="2"/>
        <v>836</v>
      </c>
      <c r="D15">
        <f t="shared" si="3"/>
        <v>197</v>
      </c>
      <c r="E15">
        <f t="shared" si="4"/>
        <v>180</v>
      </c>
      <c r="F15">
        <f t="shared" si="5"/>
        <v>360</v>
      </c>
      <c r="G15">
        <f t="shared" si="6"/>
        <v>35</v>
      </c>
      <c r="H15" s="3">
        <f t="shared" si="7"/>
        <v>19</v>
      </c>
      <c r="I15" s="3">
        <f t="shared" si="8"/>
        <v>16</v>
      </c>
      <c r="J15" s="3">
        <f t="shared" si="9"/>
        <v>0</v>
      </c>
      <c r="K15">
        <f t="shared" si="10"/>
        <v>21</v>
      </c>
      <c r="L15" s="3">
        <f t="shared" si="11"/>
        <v>9</v>
      </c>
      <c r="M15" s="3">
        <f t="shared" si="12"/>
        <v>12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2</v>
      </c>
      <c r="T15" s="3">
        <f t="shared" si="19"/>
        <v>2</v>
      </c>
      <c r="U15" s="3">
        <f t="shared" si="20"/>
        <v>0</v>
      </c>
      <c r="V15" s="3">
        <f t="shared" si="0"/>
        <v>0</v>
      </c>
      <c r="W15" s="3">
        <f t="shared" si="21"/>
        <v>5</v>
      </c>
      <c r="X15" s="4">
        <f t="shared" si="22"/>
        <v>3</v>
      </c>
      <c r="Y15" s="4">
        <f t="shared" si="23"/>
        <v>3</v>
      </c>
      <c r="Z15" s="4">
        <f t="shared" si="24"/>
        <v>3</v>
      </c>
      <c r="AA15">
        <f t="shared" si="25"/>
        <v>3</v>
      </c>
      <c r="AB15">
        <f t="shared" si="26"/>
        <v>2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M15">
        <v>90</v>
      </c>
      <c r="EN15" t="s">
        <v>110</v>
      </c>
      <c r="EO15">
        <v>1</v>
      </c>
      <c r="EQ15">
        <v>10</v>
      </c>
      <c r="ER15" t="s">
        <v>136</v>
      </c>
      <c r="EU15">
        <v>5</v>
      </c>
      <c r="EV15" t="s">
        <v>136</v>
      </c>
      <c r="EZ15" t="s">
        <v>139</v>
      </c>
      <c r="FC15">
        <v>45</v>
      </c>
      <c r="FD15" t="s">
        <v>110</v>
      </c>
      <c r="FG15">
        <v>8</v>
      </c>
      <c r="FH15" t="s">
        <v>136</v>
      </c>
      <c r="FK15">
        <v>45</v>
      </c>
      <c r="FL15" t="s">
        <v>110</v>
      </c>
      <c r="FP15" t="s">
        <v>139</v>
      </c>
      <c r="FS15">
        <v>19</v>
      </c>
      <c r="FT15" t="s">
        <v>136</v>
      </c>
      <c r="FW15">
        <v>11</v>
      </c>
      <c r="FX15" t="s">
        <v>136</v>
      </c>
      <c r="FZ15">
        <v>1</v>
      </c>
      <c r="GA15">
        <v>16</v>
      </c>
      <c r="GB15" t="s">
        <v>136</v>
      </c>
      <c r="GE15">
        <v>64</v>
      </c>
      <c r="GF15" t="s">
        <v>110</v>
      </c>
      <c r="GI15">
        <v>22</v>
      </c>
      <c r="GJ15" t="s">
        <v>136</v>
      </c>
      <c r="GL15">
        <v>1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KQ15">
        <v>90</v>
      </c>
      <c r="KR15" t="s">
        <v>110</v>
      </c>
      <c r="PS15" s="3">
        <f t="shared" si="33"/>
        <v>4</v>
      </c>
      <c r="PT15" s="3">
        <f t="shared" si="34"/>
        <v>2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1678</v>
      </c>
      <c r="C16">
        <f t="shared" si="2"/>
        <v>986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24</v>
      </c>
      <c r="H16" s="3">
        <f t="shared" si="7"/>
        <v>19</v>
      </c>
      <c r="I16" s="3">
        <f t="shared" si="8"/>
        <v>5</v>
      </c>
      <c r="J16" s="3">
        <f t="shared" si="9"/>
        <v>0</v>
      </c>
      <c r="K16">
        <f t="shared" si="10"/>
        <v>12</v>
      </c>
      <c r="L16" s="3">
        <f t="shared" si="11"/>
        <v>11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11</v>
      </c>
      <c r="X16" s="4">
        <f t="shared" si="22"/>
        <v>11</v>
      </c>
      <c r="Y16" s="4">
        <f t="shared" si="23"/>
        <v>8</v>
      </c>
      <c r="Z16" s="4">
        <f t="shared" si="24"/>
        <v>7</v>
      </c>
      <c r="AA16">
        <f t="shared" si="25"/>
        <v>7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EU16">
        <v>90</v>
      </c>
      <c r="EV16" t="s">
        <v>110</v>
      </c>
      <c r="EW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EV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8</v>
      </c>
      <c r="PT17" s="3">
        <f t="shared" si="34"/>
        <v>6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1616</v>
      </c>
      <c r="C18">
        <f t="shared" si="2"/>
        <v>982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32</v>
      </c>
      <c r="H18" s="3">
        <f t="shared" si="7"/>
        <v>20</v>
      </c>
      <c r="I18" s="3">
        <f t="shared" si="8"/>
        <v>12</v>
      </c>
      <c r="J18" s="3">
        <f t="shared" si="9"/>
        <v>0</v>
      </c>
      <c r="K18">
        <f t="shared" si="10"/>
        <v>18</v>
      </c>
      <c r="L18" s="3">
        <f t="shared" si="11"/>
        <v>12</v>
      </c>
      <c r="M18" s="3">
        <f t="shared" si="12"/>
        <v>6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4</v>
      </c>
      <c r="X18" s="4">
        <f t="shared" si="22"/>
        <v>4</v>
      </c>
      <c r="Y18" s="4">
        <f t="shared" si="23"/>
        <v>5</v>
      </c>
      <c r="Z18" s="4">
        <f t="shared" si="24"/>
        <v>2</v>
      </c>
      <c r="AA18">
        <f t="shared" si="25"/>
        <v>4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N18" t="s">
        <v>139</v>
      </c>
      <c r="EQ18">
        <v>80</v>
      </c>
      <c r="ER18" t="s">
        <v>110</v>
      </c>
      <c r="EU18">
        <v>60</v>
      </c>
      <c r="EV18" t="s">
        <v>110</v>
      </c>
      <c r="EY18">
        <v>27</v>
      </c>
      <c r="EZ18" t="s">
        <v>136</v>
      </c>
      <c r="FD18" t="s">
        <v>139</v>
      </c>
      <c r="FH18" t="s">
        <v>139</v>
      </c>
      <c r="FK18">
        <v>45</v>
      </c>
      <c r="FL18" t="s">
        <v>136</v>
      </c>
      <c r="FM18">
        <v>1</v>
      </c>
      <c r="FO18">
        <v>45</v>
      </c>
      <c r="FP18" t="s">
        <v>136</v>
      </c>
      <c r="FQ18">
        <v>1</v>
      </c>
      <c r="FS18">
        <v>80</v>
      </c>
      <c r="FT18" t="s">
        <v>110</v>
      </c>
      <c r="FW18">
        <v>79</v>
      </c>
      <c r="FX18" t="s">
        <v>110</v>
      </c>
      <c r="GA18">
        <v>74</v>
      </c>
      <c r="GB18" t="s">
        <v>110</v>
      </c>
      <c r="GE18">
        <v>45</v>
      </c>
      <c r="GF18" t="s">
        <v>110</v>
      </c>
      <c r="GI18">
        <v>68</v>
      </c>
      <c r="GJ18" t="s">
        <v>110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5</v>
      </c>
      <c r="PT18" s="3">
        <f t="shared" si="34"/>
        <v>5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1277</v>
      </c>
      <c r="C19">
        <f t="shared" si="2"/>
        <v>491</v>
      </c>
      <c r="D19">
        <f t="shared" si="3"/>
        <v>214</v>
      </c>
      <c r="E19">
        <f t="shared" si="4"/>
        <v>332</v>
      </c>
      <c r="F19">
        <f t="shared" si="5"/>
        <v>240</v>
      </c>
      <c r="G19">
        <f t="shared" si="6"/>
        <v>28</v>
      </c>
      <c r="H19" s="3">
        <f t="shared" si="7"/>
        <v>12</v>
      </c>
      <c r="I19" s="3">
        <f t="shared" si="8"/>
        <v>16</v>
      </c>
      <c r="J19" s="3">
        <f t="shared" si="9"/>
        <v>2</v>
      </c>
      <c r="K19">
        <f t="shared" si="10"/>
        <v>13</v>
      </c>
      <c r="L19" s="3">
        <f t="shared" si="11"/>
        <v>4</v>
      </c>
      <c r="M19" s="3">
        <f t="shared" si="12"/>
        <v>9</v>
      </c>
      <c r="N19" s="3">
        <f t="shared" si="13"/>
        <v>2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4</v>
      </c>
      <c r="T19" s="3">
        <f t="shared" si="19"/>
        <v>4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1</v>
      </c>
      <c r="Z19" s="4">
        <f t="shared" si="24"/>
        <v>1</v>
      </c>
      <c r="AA19">
        <f t="shared" si="25"/>
        <v>0</v>
      </c>
      <c r="AB19">
        <f t="shared" si="26"/>
        <v>1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M19">
        <v>85</v>
      </c>
      <c r="EN19" t="s">
        <v>110</v>
      </c>
      <c r="EP19">
        <v>1</v>
      </c>
      <c r="ER19" t="s">
        <v>139</v>
      </c>
      <c r="EV19" t="s">
        <v>138</v>
      </c>
      <c r="EZ19" t="s">
        <v>139</v>
      </c>
      <c r="FC19">
        <v>69</v>
      </c>
      <c r="FD19" t="s">
        <v>110</v>
      </c>
      <c r="FH19" t="s">
        <v>138</v>
      </c>
      <c r="FK19">
        <v>45</v>
      </c>
      <c r="FL19" t="s">
        <v>136</v>
      </c>
      <c r="FP19" t="s">
        <v>139</v>
      </c>
      <c r="FT19" t="s">
        <v>139</v>
      </c>
      <c r="FW19">
        <v>11</v>
      </c>
      <c r="FX19" t="s">
        <v>136</v>
      </c>
      <c r="GB19" t="s">
        <v>139</v>
      </c>
      <c r="GE19">
        <v>26</v>
      </c>
      <c r="GF19" t="s">
        <v>136</v>
      </c>
      <c r="GI19">
        <v>68</v>
      </c>
      <c r="GJ19" t="s">
        <v>110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KQ19">
        <v>62</v>
      </c>
      <c r="KR19" t="s">
        <v>110</v>
      </c>
      <c r="KY19">
        <v>90</v>
      </c>
      <c r="KZ19" t="s">
        <v>110</v>
      </c>
      <c r="PS19" s="3">
        <f t="shared" si="33"/>
        <v>9</v>
      </c>
      <c r="PT19" s="3">
        <f t="shared" si="34"/>
        <v>8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2197</v>
      </c>
      <c r="C20">
        <f t="shared" si="2"/>
        <v>1534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34</v>
      </c>
      <c r="H20" s="3">
        <f t="shared" si="7"/>
        <v>27</v>
      </c>
      <c r="I20" s="3">
        <f t="shared" si="8"/>
        <v>7</v>
      </c>
      <c r="J20" s="3">
        <f t="shared" si="9"/>
        <v>0</v>
      </c>
      <c r="K20">
        <f t="shared" si="10"/>
        <v>20</v>
      </c>
      <c r="L20" s="3">
        <f t="shared" si="11"/>
        <v>19</v>
      </c>
      <c r="M20" s="3">
        <f t="shared" si="12"/>
        <v>1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15</v>
      </c>
      <c r="X20" s="4">
        <f t="shared" si="22"/>
        <v>13</v>
      </c>
      <c r="Y20" s="4">
        <f t="shared" si="23"/>
        <v>4</v>
      </c>
      <c r="Z20" s="4">
        <f t="shared" si="24"/>
        <v>4</v>
      </c>
      <c r="AA20">
        <f t="shared" si="25"/>
        <v>6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M20">
        <v>90</v>
      </c>
      <c r="EN20" t="s">
        <v>110</v>
      </c>
      <c r="EQ20">
        <v>80</v>
      </c>
      <c r="ER20" t="s">
        <v>110</v>
      </c>
      <c r="EU20">
        <v>90</v>
      </c>
      <c r="EV20" t="s">
        <v>110</v>
      </c>
      <c r="EW20">
        <v>1</v>
      </c>
      <c r="EY20">
        <v>63</v>
      </c>
      <c r="EZ20" t="s">
        <v>110</v>
      </c>
      <c r="FC20">
        <v>90</v>
      </c>
      <c r="FD20" t="s">
        <v>110</v>
      </c>
      <c r="FE20">
        <v>1</v>
      </c>
      <c r="FG20">
        <v>82</v>
      </c>
      <c r="FH20" t="s">
        <v>110</v>
      </c>
      <c r="FL20" t="s">
        <v>139</v>
      </c>
      <c r="FO20">
        <v>68</v>
      </c>
      <c r="FP20" t="s">
        <v>110</v>
      </c>
      <c r="FS20">
        <v>90</v>
      </c>
      <c r="FT20" t="s">
        <v>110</v>
      </c>
      <c r="FW20">
        <v>79</v>
      </c>
      <c r="FX20" t="s">
        <v>110</v>
      </c>
      <c r="GA20">
        <v>10</v>
      </c>
      <c r="GB20" t="s">
        <v>136</v>
      </c>
      <c r="GF20" t="s">
        <v>139</v>
      </c>
      <c r="GJ20" t="s">
        <v>139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3</v>
      </c>
      <c r="PT20" s="3">
        <f t="shared" si="34"/>
        <v>3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1</v>
      </c>
      <c r="Z21" s="4">
        <f t="shared" si="24"/>
        <v>1</v>
      </c>
      <c r="AA21">
        <f t="shared" si="25"/>
        <v>0</v>
      </c>
      <c r="AB21">
        <f t="shared" si="26"/>
        <v>1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EX21">
        <v>1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2851</v>
      </c>
      <c r="C22">
        <f t="shared" si="2"/>
        <v>1832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35</v>
      </c>
      <c r="H22" s="3">
        <f t="shared" si="7"/>
        <v>35</v>
      </c>
      <c r="I22" s="3">
        <f t="shared" si="8"/>
        <v>0</v>
      </c>
      <c r="J22" s="3">
        <f t="shared" si="9"/>
        <v>0</v>
      </c>
      <c r="K22">
        <f t="shared" si="10"/>
        <v>21</v>
      </c>
      <c r="L22" s="3">
        <f t="shared" si="11"/>
        <v>21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5</v>
      </c>
      <c r="Z22" s="4">
        <f t="shared" si="24"/>
        <v>5</v>
      </c>
      <c r="AA22">
        <f t="shared" si="25"/>
        <v>2</v>
      </c>
      <c r="AB22">
        <f t="shared" si="26"/>
        <v>4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M22">
        <v>90</v>
      </c>
      <c r="EN22" t="s">
        <v>110</v>
      </c>
      <c r="EQ22">
        <v>90</v>
      </c>
      <c r="ER22" t="s">
        <v>110</v>
      </c>
      <c r="EU22">
        <v>90</v>
      </c>
      <c r="EV22" t="s">
        <v>110</v>
      </c>
      <c r="EY22">
        <v>89</v>
      </c>
      <c r="EZ22" t="s">
        <v>110</v>
      </c>
      <c r="FB22">
        <v>1</v>
      </c>
      <c r="FC22">
        <v>90</v>
      </c>
      <c r="FD22" t="s">
        <v>110</v>
      </c>
      <c r="FG22">
        <v>89</v>
      </c>
      <c r="FH22" t="s">
        <v>110</v>
      </c>
      <c r="FK22">
        <v>43</v>
      </c>
      <c r="FL22" t="s">
        <v>110</v>
      </c>
      <c r="FO22">
        <v>90</v>
      </c>
      <c r="FP22" t="s">
        <v>110</v>
      </c>
      <c r="FS22">
        <v>90</v>
      </c>
      <c r="FT22" t="s">
        <v>110</v>
      </c>
      <c r="FW22">
        <v>89</v>
      </c>
      <c r="FX22" t="s">
        <v>110</v>
      </c>
      <c r="GA22">
        <v>82</v>
      </c>
      <c r="GB22" t="s">
        <v>110</v>
      </c>
      <c r="GF22" t="s">
        <v>139</v>
      </c>
      <c r="GJ22" t="s">
        <v>139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2</v>
      </c>
      <c r="PT22" s="3">
        <f t="shared" si="34"/>
        <v>2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2447</v>
      </c>
      <c r="C24">
        <f t="shared" si="2"/>
        <v>1755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31</v>
      </c>
      <c r="H24" s="3">
        <f t="shared" si="7"/>
        <v>28</v>
      </c>
      <c r="I24" s="3">
        <f t="shared" si="8"/>
        <v>3</v>
      </c>
      <c r="J24" s="3">
        <f t="shared" si="9"/>
        <v>1</v>
      </c>
      <c r="K24">
        <f t="shared" si="10"/>
        <v>20</v>
      </c>
      <c r="L24" s="3">
        <f t="shared" si="11"/>
        <v>20</v>
      </c>
      <c r="M24" s="3">
        <f t="shared" si="12"/>
        <v>0</v>
      </c>
      <c r="N24" s="3">
        <f t="shared" si="13"/>
        <v>1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M24">
        <v>90</v>
      </c>
      <c r="EN24" t="s">
        <v>110</v>
      </c>
      <c r="EQ24">
        <v>90</v>
      </c>
      <c r="ER24" t="s">
        <v>110</v>
      </c>
      <c r="EU24">
        <v>90</v>
      </c>
      <c r="EV24" t="s">
        <v>110</v>
      </c>
      <c r="EY24">
        <v>90</v>
      </c>
      <c r="EZ24" t="s">
        <v>110</v>
      </c>
      <c r="FC24">
        <v>45</v>
      </c>
      <c r="FD24" t="s">
        <v>110</v>
      </c>
      <c r="FG24">
        <v>90</v>
      </c>
      <c r="FH24" t="s">
        <v>110</v>
      </c>
      <c r="FL24" t="s">
        <v>139</v>
      </c>
      <c r="FP24" t="s">
        <v>138</v>
      </c>
      <c r="FS24">
        <v>90</v>
      </c>
      <c r="FT24" t="s">
        <v>110</v>
      </c>
      <c r="FW24">
        <v>90</v>
      </c>
      <c r="FX24" t="s">
        <v>110</v>
      </c>
      <c r="GA24">
        <v>90</v>
      </c>
      <c r="GB24" t="s">
        <v>110</v>
      </c>
      <c r="GE24">
        <v>90</v>
      </c>
      <c r="GF24" t="s">
        <v>110</v>
      </c>
      <c r="GI24">
        <v>90</v>
      </c>
      <c r="GJ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3</v>
      </c>
      <c r="PT24" s="3">
        <f t="shared" si="34"/>
        <v>2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N25" t="s">
        <v>139</v>
      </c>
      <c r="ER25" t="s">
        <v>139</v>
      </c>
      <c r="EV25" t="s">
        <v>139</v>
      </c>
      <c r="FD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10</v>
      </c>
      <c r="PT25" s="3">
        <f t="shared" si="34"/>
        <v>8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1135</v>
      </c>
      <c r="C26">
        <f t="shared" si="2"/>
        <v>79</v>
      </c>
      <c r="D26">
        <f t="shared" si="3"/>
        <v>137</v>
      </c>
      <c r="E26">
        <f t="shared" si="4"/>
        <v>649</v>
      </c>
      <c r="F26">
        <f t="shared" si="5"/>
        <v>270</v>
      </c>
      <c r="G26">
        <f t="shared" si="6"/>
        <v>24</v>
      </c>
      <c r="H26" s="3">
        <f t="shared" si="7"/>
        <v>12</v>
      </c>
      <c r="I26" s="3">
        <f t="shared" si="8"/>
        <v>12</v>
      </c>
      <c r="J26" s="3">
        <f t="shared" si="9"/>
        <v>1</v>
      </c>
      <c r="K26">
        <f t="shared" si="10"/>
        <v>6</v>
      </c>
      <c r="L26" s="3">
        <f t="shared" si="11"/>
        <v>1</v>
      </c>
      <c r="M26" s="3">
        <f t="shared" si="12"/>
        <v>5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8</v>
      </c>
      <c r="T26" s="3">
        <f t="shared" si="19"/>
        <v>8</v>
      </c>
      <c r="U26" s="3">
        <f t="shared" si="20"/>
        <v>0</v>
      </c>
      <c r="V26" s="3">
        <f t="shared" si="0"/>
        <v>0</v>
      </c>
      <c r="W26" s="3">
        <f t="shared" si="21"/>
        <v>4</v>
      </c>
      <c r="X26" s="4">
        <f t="shared" si="22"/>
        <v>3</v>
      </c>
      <c r="Y26" s="4">
        <f t="shared" si="23"/>
        <v>0</v>
      </c>
      <c r="Z26" s="4">
        <f t="shared" si="24"/>
        <v>0</v>
      </c>
      <c r="AA26">
        <f t="shared" si="25"/>
        <v>1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N26" t="s">
        <v>139</v>
      </c>
      <c r="ER26" t="s">
        <v>139</v>
      </c>
      <c r="EV26" t="s">
        <v>139</v>
      </c>
      <c r="EZ26" t="s">
        <v>139</v>
      </c>
      <c r="FD26" t="s">
        <v>139</v>
      </c>
      <c r="FH26" t="s">
        <v>139</v>
      </c>
      <c r="FL26" t="s">
        <v>139</v>
      </c>
      <c r="FP26" t="s">
        <v>139</v>
      </c>
      <c r="FT26" t="s">
        <v>139</v>
      </c>
      <c r="FX26" t="s">
        <v>139</v>
      </c>
      <c r="GB26" t="s">
        <v>139</v>
      </c>
      <c r="GE26">
        <v>26</v>
      </c>
      <c r="GF26" t="s">
        <v>136</v>
      </c>
      <c r="GG26">
        <v>1</v>
      </c>
      <c r="GI26">
        <v>9</v>
      </c>
      <c r="GJ26" t="s">
        <v>136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KM26">
        <v>90</v>
      </c>
      <c r="KN26" t="s">
        <v>110</v>
      </c>
      <c r="KU26">
        <v>60</v>
      </c>
      <c r="KV26" t="s">
        <v>110</v>
      </c>
      <c r="LC26">
        <v>69</v>
      </c>
      <c r="LD26" t="s">
        <v>110</v>
      </c>
      <c r="PS26" s="3">
        <f t="shared" si="33"/>
        <v>20</v>
      </c>
      <c r="PT26" s="3">
        <f t="shared" si="34"/>
        <v>17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1927</v>
      </c>
      <c r="C27">
        <f t="shared" si="2"/>
        <v>1432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22</v>
      </c>
      <c r="H27" s="3">
        <f t="shared" si="7"/>
        <v>22</v>
      </c>
      <c r="I27" s="3">
        <f t="shared" si="8"/>
        <v>0</v>
      </c>
      <c r="J27" s="3">
        <f t="shared" si="9"/>
        <v>1</v>
      </c>
      <c r="K27">
        <f t="shared" si="10"/>
        <v>16</v>
      </c>
      <c r="L27" s="3">
        <f t="shared" si="11"/>
        <v>16</v>
      </c>
      <c r="M27" s="3">
        <f t="shared" si="12"/>
        <v>0</v>
      </c>
      <c r="N27" s="3">
        <f t="shared" si="13"/>
        <v>1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2</v>
      </c>
      <c r="Z27" s="4">
        <f t="shared" si="24"/>
        <v>2</v>
      </c>
      <c r="AA27">
        <f t="shared" si="25"/>
        <v>0</v>
      </c>
      <c r="AB27">
        <f t="shared" si="26"/>
        <v>2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M27">
        <v>90</v>
      </c>
      <c r="EN27" t="s">
        <v>110</v>
      </c>
      <c r="EQ27">
        <v>89</v>
      </c>
      <c r="ER27" t="s">
        <v>110</v>
      </c>
      <c r="EU27">
        <v>90</v>
      </c>
      <c r="EV27" t="s">
        <v>110</v>
      </c>
      <c r="EY27">
        <v>90</v>
      </c>
      <c r="EZ27" t="s">
        <v>110</v>
      </c>
      <c r="FC27">
        <v>83</v>
      </c>
      <c r="FD27" t="s">
        <v>110</v>
      </c>
      <c r="FF27">
        <v>1</v>
      </c>
      <c r="FG27">
        <v>90</v>
      </c>
      <c r="FH27" t="s">
        <v>110</v>
      </c>
      <c r="FK27">
        <v>90</v>
      </c>
      <c r="FL27" t="s">
        <v>110</v>
      </c>
      <c r="FN27">
        <v>1</v>
      </c>
      <c r="FO27">
        <v>90</v>
      </c>
      <c r="FP27" t="s">
        <v>110</v>
      </c>
      <c r="FS27">
        <v>90</v>
      </c>
      <c r="FT27" t="s">
        <v>110</v>
      </c>
      <c r="FW27">
        <v>90</v>
      </c>
      <c r="FX27" t="s">
        <v>110</v>
      </c>
      <c r="GA27">
        <v>90</v>
      </c>
      <c r="GB27" t="s">
        <v>110</v>
      </c>
      <c r="GF27" t="s">
        <v>138</v>
      </c>
      <c r="GJ27" t="s">
        <v>139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5</v>
      </c>
      <c r="PT27" s="3">
        <f t="shared" si="34"/>
        <v>4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1550</v>
      </c>
      <c r="C28">
        <f t="shared" si="2"/>
        <v>640</v>
      </c>
      <c r="D28">
        <f t="shared" si="3"/>
        <v>400</v>
      </c>
      <c r="E28">
        <f t="shared" si="4"/>
        <v>420</v>
      </c>
      <c r="F28">
        <f t="shared" si="5"/>
        <v>90</v>
      </c>
      <c r="G28">
        <f t="shared" si="6"/>
        <v>21</v>
      </c>
      <c r="H28" s="3">
        <f t="shared" si="7"/>
        <v>18</v>
      </c>
      <c r="I28" s="3">
        <f t="shared" si="8"/>
        <v>3</v>
      </c>
      <c r="J28" s="3">
        <f t="shared" si="9"/>
        <v>2</v>
      </c>
      <c r="K28">
        <f t="shared" si="10"/>
        <v>10</v>
      </c>
      <c r="L28" s="3">
        <f t="shared" si="11"/>
        <v>7</v>
      </c>
      <c r="M28" s="3">
        <f t="shared" si="12"/>
        <v>3</v>
      </c>
      <c r="N28" s="3">
        <f t="shared" si="13"/>
        <v>2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5</v>
      </c>
      <c r="T28" s="3">
        <f t="shared" si="19"/>
        <v>5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M28">
        <v>11</v>
      </c>
      <c r="EN28" t="s">
        <v>136</v>
      </c>
      <c r="EQ28">
        <v>90</v>
      </c>
      <c r="ER28" t="s">
        <v>110</v>
      </c>
      <c r="EU28">
        <v>30</v>
      </c>
      <c r="EV28" t="s">
        <v>136</v>
      </c>
      <c r="EZ28" t="s">
        <v>139</v>
      </c>
      <c r="FD28" t="s">
        <v>139</v>
      </c>
      <c r="FH28" t="s">
        <v>139</v>
      </c>
      <c r="FP28" t="s">
        <v>138</v>
      </c>
      <c r="FT28" t="s">
        <v>138</v>
      </c>
      <c r="FX28" t="s">
        <v>139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KM28">
        <v>75</v>
      </c>
      <c r="KN28" t="s">
        <v>110</v>
      </c>
      <c r="KQ28">
        <v>90</v>
      </c>
      <c r="KR28" t="s">
        <v>110</v>
      </c>
      <c r="KU28">
        <v>75</v>
      </c>
      <c r="KV28" t="s">
        <v>110</v>
      </c>
      <c r="KY28">
        <v>90</v>
      </c>
      <c r="KZ28" t="s">
        <v>110</v>
      </c>
      <c r="PS28" s="3">
        <f t="shared" si="33"/>
        <v>6</v>
      </c>
      <c r="PT28" s="3">
        <f t="shared" si="34"/>
        <v>4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1186</v>
      </c>
      <c r="C29">
        <f t="shared" si="2"/>
        <v>946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20</v>
      </c>
      <c r="H29" s="3">
        <f t="shared" si="7"/>
        <v>14</v>
      </c>
      <c r="I29" s="3">
        <f t="shared" si="8"/>
        <v>6</v>
      </c>
      <c r="J29" s="3">
        <f t="shared" si="9"/>
        <v>2</v>
      </c>
      <c r="K29">
        <f t="shared" si="10"/>
        <v>16</v>
      </c>
      <c r="L29" s="3">
        <f t="shared" si="11"/>
        <v>12</v>
      </c>
      <c r="M29" s="3">
        <f t="shared" si="12"/>
        <v>4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1</v>
      </c>
      <c r="X29" s="4">
        <f t="shared" si="22"/>
        <v>1</v>
      </c>
      <c r="Y29" s="4">
        <f t="shared" si="23"/>
        <v>1</v>
      </c>
      <c r="Z29" s="4">
        <f t="shared" si="24"/>
        <v>1</v>
      </c>
      <c r="AA29">
        <f t="shared" si="25"/>
        <v>1</v>
      </c>
      <c r="AB29">
        <f t="shared" si="26"/>
        <v>1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M29">
        <v>61</v>
      </c>
      <c r="EN29" t="s">
        <v>110</v>
      </c>
      <c r="ER29" t="s">
        <v>138</v>
      </c>
      <c r="EU29">
        <v>23</v>
      </c>
      <c r="EV29" t="s">
        <v>136</v>
      </c>
      <c r="EX29">
        <v>1</v>
      </c>
      <c r="EY29">
        <v>90</v>
      </c>
      <c r="EZ29" t="s">
        <v>110</v>
      </c>
      <c r="FC29">
        <v>21</v>
      </c>
      <c r="FD29" t="s">
        <v>136</v>
      </c>
      <c r="FG29">
        <v>90</v>
      </c>
      <c r="FH29" t="s">
        <v>110</v>
      </c>
      <c r="FK29">
        <v>52</v>
      </c>
      <c r="FL29" t="s">
        <v>110</v>
      </c>
      <c r="FO29">
        <v>68</v>
      </c>
      <c r="FP29" t="s">
        <v>110</v>
      </c>
      <c r="FS29">
        <v>71</v>
      </c>
      <c r="FT29" t="s">
        <v>110</v>
      </c>
      <c r="FW29">
        <v>90</v>
      </c>
      <c r="FX29" t="s">
        <v>110</v>
      </c>
      <c r="FY29">
        <v>1</v>
      </c>
      <c r="GA29">
        <v>82</v>
      </c>
      <c r="GB29" t="s">
        <v>110</v>
      </c>
      <c r="GE29">
        <v>64</v>
      </c>
      <c r="GF29" t="s">
        <v>110</v>
      </c>
      <c r="GI29">
        <v>90</v>
      </c>
      <c r="GJ29" t="s">
        <v>110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B30">
        <f t="shared" ref="B30" si="67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569</v>
      </c>
      <c r="C30">
        <f t="shared" ref="C30" si="68">SUM(CY30,DC30,DG30,DK30,DO30,DS30,DW30,EA30,EE30,EI30,EM30,EQ30,EU30,EY30,FC30,FG30,FK30,FO30,FS30,FW30,GA30,GE30,GI30,GM30,GQ30,GU30)</f>
        <v>344</v>
      </c>
      <c r="D30">
        <f t="shared" ref="D30" si="69">SUM(GY30,HC30,HG30,HK30,HO30,HS30,HW30,IA30,IE30,II30,IM30,IQ30)</f>
        <v>0</v>
      </c>
      <c r="E30">
        <f t="shared" ref="E30" si="70">SUM(IU30,IY30,JC30,JG30,JK30,JO30,JS30,JW30,KA30,KE30,KI30,KM30,KQ30,KU30,KY30,LC30,LG30,LK30,LO30,LS30,LW30,MA30,ME30,MI30,MM30,MQ30,MU30,MY30,NC30,NG30,NK30,NO30,NS30,NW30,OA30,OE30,OI30,OM30,OQ30,OU30,OY30,PC30,PG30,PK30,PO30)</f>
        <v>180</v>
      </c>
      <c r="F30">
        <f t="shared" si="5"/>
        <v>45</v>
      </c>
      <c r="G30">
        <f t="shared" ref="G30" si="71">SUM(H30:I30)</f>
        <v>11</v>
      </c>
      <c r="H30" s="3">
        <f t="shared" ref="H30" si="72">COUNTIF(AI30:PR30,"T")</f>
        <v>6</v>
      </c>
      <c r="I30" s="3">
        <f t="shared" ref="I30" si="73">COUNTIF(AI30:PR30,"R")</f>
        <v>5</v>
      </c>
      <c r="J30" s="3">
        <f t="shared" ref="J30" si="74">COUNTIF(AI30:PR30,"NR")</f>
        <v>0</v>
      </c>
      <c r="K30">
        <f t="shared" ref="K30" si="75">SUM(L30:M30)</f>
        <v>8</v>
      </c>
      <c r="L30" s="3">
        <f t="shared" ref="L30" si="76">COUNTIF(CY30:GX30,"T")</f>
        <v>4</v>
      </c>
      <c r="M30" s="3">
        <f t="shared" ref="M30" si="77">COUNTIF(CY30:GX30,"R")</f>
        <v>4</v>
      </c>
      <c r="N30" s="3">
        <f t="shared" ref="N30" si="78">COUNTIF(CY30:GX30,"NR")</f>
        <v>0</v>
      </c>
      <c r="O30">
        <f t="shared" ref="O30" si="79">SUM(P30:Q30)</f>
        <v>0</v>
      </c>
      <c r="P30" s="3">
        <f t="shared" ref="P30" si="80">COUNTIF(GY30:IT30,"T")</f>
        <v>0</v>
      </c>
      <c r="Q30" s="3">
        <f t="shared" ref="Q30" si="81">COUNTIF(GY30:IT30,"R")</f>
        <v>0</v>
      </c>
      <c r="R30" s="3">
        <f t="shared" ref="R30" si="82">COUNTIF(GY30:IT30,"NR")</f>
        <v>0</v>
      </c>
      <c r="S30">
        <f t="shared" ref="S30" si="83">SUM(T30:U30)</f>
        <v>2</v>
      </c>
      <c r="T30" s="3">
        <f t="shared" ref="T30" si="84">COUNTIF(IU30:PR30,"T")</f>
        <v>2</v>
      </c>
      <c r="U30" s="3">
        <f t="shared" ref="U30" si="85">COUNTIF(IU30:PR30,"R")</f>
        <v>0</v>
      </c>
      <c r="V30" s="3">
        <f t="shared" ref="V30" si="86">COUNTIF(IU:PR,"NR")</f>
        <v>0</v>
      </c>
      <c r="W30" s="3">
        <f t="shared" ref="W30" si="87">SUM(AK30,AO30,AS30,AW30,BA30,BE30,BI30,BM30,BQ30,BU30,BY30,CC30,CG30,CK30,CO30,CS30,CW30,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X30" s="4">
        <f t="shared" ref="X30" si="88">SUM(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Y30" s="4">
        <f t="shared" ref="Y30" si="89"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Z30" s="4">
        <f t="shared" ref="Z30" si="90"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AA30">
        <f t="shared" ref="AA30" si="91">SUM(DA30,DE30,DI30,DM30,DQ30,DU30,DY30,EC30,EG30,EK30,EO30,ES30,EW30,FA30,FE30,FI30,FM30,FQ30,FU30,FY30,GC30,GG30,GK30,GO30,GS30,GW30)</f>
        <v>0</v>
      </c>
      <c r="AB30">
        <f t="shared" ref="AB30" si="92">SUM(DB30,DF30,DJ30,DN30,DR30,DV30,DZ30,ED30,EH30,EL30,EP30,ET30,EX30,FB30,FF30,FJ30,FN30,FR30,FV30,FZ30,GD30,GH30,GL30,GP30,GT30,GX30)</f>
        <v>0</v>
      </c>
      <c r="AC30">
        <f t="shared" ref="AC30" si="93">SUM(HA30,HE30,HI30,HM30,HQ30,HU30,HY30,IC30,IG30,IK30,IO30,IS30)</f>
        <v>0</v>
      </c>
      <c r="AD30">
        <f t="shared" ref="AD30" si="94">SUM(HB30,HF30,HJ30,HN30,HR30,HV30,HZ30,ID30,IH30,IL30,IP30,IT30)</f>
        <v>0</v>
      </c>
      <c r="AE30">
        <f t="shared" ref="AE30" si="95">SUM(AK30,AO30,AS30,AW30,BA30,BE30,BI30,BM30,BQ30,BU30,BY30,CC30,CG30,CK30,CO30,CS30,CW30)</f>
        <v>0</v>
      </c>
      <c r="AF30">
        <f t="shared" ref="AF30" si="96">SUM(AL30,AP30,AT30,AX30,BB30,BF30,BJ30,BN30,BR30,BV30,BZ30,CD30,CH30,CL30,CP30,CT30,CX30)</f>
        <v>0</v>
      </c>
      <c r="AG30">
        <f t="shared" ref="AG30" si="97">SUM(IW30,JA30,JE30,JI30,JM30,JQ30,JU30,JY30,KC30,KG30,KK30,KO30,KS30,KW30,LA30,LE30,LI30,LM30,LQ30,LU30,LY30,MC30,MG30,MK30,MO30,MS30,MW30,NA30,NE30,NI30,NM30,NQ30,NU30,NY30,OC30,OG30,OK30,OO30,OS30,OW30,PA30,PE30,PI30,PM30,PQ30)</f>
        <v>0</v>
      </c>
      <c r="AH30">
        <f t="shared" ref="AH30" si="98">SUM(IX30,JB30,JF30,JJ30,JN30,JR30,JV30,JZ30,KD30,KH30,KL30,KP30,KT30,KX30,LB30,LF30,LJ30,LN30,LR30,LV30,LZ30,MD30,MH30,ML30,MP30,MT30,MX30,NB30,NF30,NJ30,NN30,NR30,NV30,NZ30,OD30,OH30,OL30,OP30,OT30,OX30,PB30,PF30,PJ30,PN30,PR30)</f>
        <v>0</v>
      </c>
      <c r="BG30">
        <v>45</v>
      </c>
      <c r="BH30" t="s">
        <v>136</v>
      </c>
      <c r="EN30" t="s">
        <v>139</v>
      </c>
      <c r="EQ30">
        <v>1</v>
      </c>
      <c r="ER30" t="s">
        <v>136</v>
      </c>
      <c r="EU30">
        <v>45</v>
      </c>
      <c r="EV30" t="s">
        <v>136</v>
      </c>
      <c r="EY30">
        <v>63</v>
      </c>
      <c r="EZ30" t="s">
        <v>110</v>
      </c>
      <c r="FC30">
        <v>45</v>
      </c>
      <c r="FD30" t="s">
        <v>136</v>
      </c>
      <c r="FG30">
        <v>72</v>
      </c>
      <c r="FH30" t="s">
        <v>110</v>
      </c>
      <c r="FL30" t="s">
        <v>139</v>
      </c>
      <c r="FO30">
        <v>45</v>
      </c>
      <c r="FP30" t="s">
        <v>110</v>
      </c>
      <c r="FS30">
        <v>10</v>
      </c>
      <c r="FT30" t="s">
        <v>136</v>
      </c>
      <c r="FW30">
        <v>63</v>
      </c>
      <c r="FX30" t="s">
        <v>110</v>
      </c>
      <c r="GB30" t="s">
        <v>139</v>
      </c>
      <c r="GF30" t="s">
        <v>139</v>
      </c>
      <c r="GJ30" t="s">
        <v>139</v>
      </c>
      <c r="KI30">
        <v>90</v>
      </c>
      <c r="KJ30" t="s">
        <v>110</v>
      </c>
      <c r="LC30">
        <v>90</v>
      </c>
      <c r="LD30" t="s">
        <v>110</v>
      </c>
      <c r="PS30" s="3">
        <f t="shared" ref="PS30" si="99">COUNTIF(AI30:PR30,"HG")</f>
        <v>5</v>
      </c>
      <c r="PT30" s="3">
        <f t="shared" ref="PT30" si="100">COUNTIF(CY30:GX30,"HG")</f>
        <v>5</v>
      </c>
      <c r="PU30" s="3">
        <f t="shared" ref="PU30" si="101">COUNTIF(GY30:IT30,"HG")</f>
        <v>0</v>
      </c>
      <c r="PV30">
        <f t="shared" ref="PV30" si="102">COUNTIF(IU:PR,"HG")</f>
        <v>0</v>
      </c>
      <c r="PW30">
        <f t="shared" ref="PW30" si="103">G30-(K30+O30+S30)</f>
        <v>1</v>
      </c>
    </row>
    <row r="31" spans="1:439" x14ac:dyDescent="0.2">
      <c r="A31" s="2" t="s">
        <v>151</v>
      </c>
      <c r="B31">
        <f t="shared" ref="B31" si="104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771</v>
      </c>
      <c r="C31">
        <f t="shared" ref="C31" si="105">SUM(CY31,DC31,DG31,DK31,DO31,DS31,DW31,EA31,EE31,EI31,EM31,EQ31,EU31,EY31,FC31,FG31,FK31,FO31,FS31,FW31,GA31,GE31,GI31,GM31,GQ31,GU31)</f>
        <v>771</v>
      </c>
      <c r="D31">
        <f t="shared" ref="D31" si="106">SUM(GY31,HC31,HG31,HK31,HO31,HS31,HW31,IA31,IE31,II31,IM31,IQ31)</f>
        <v>0</v>
      </c>
      <c r="E31">
        <f t="shared" ref="E31" si="107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08">SUM(AI31,AM31,AQ31,AU31,AY31,BC31,BG31,BK31,BO31,BS31,BW31,CA31,CE31,CI31,CM31,CQ31,CU31)</f>
        <v>0</v>
      </c>
      <c r="G31">
        <f t="shared" ref="G31" si="109">SUM(H31:I31)</f>
        <v>9</v>
      </c>
      <c r="H31" s="3">
        <f t="shared" ref="H31" si="110">COUNTIF(AI31:PR31,"T")</f>
        <v>9</v>
      </c>
      <c r="I31" s="3">
        <f t="shared" ref="I31" si="111">COUNTIF(AI31:PR31,"R")</f>
        <v>0</v>
      </c>
      <c r="J31" s="3">
        <f t="shared" ref="J31" si="112">COUNTIF(AI31:PR31,"NR")</f>
        <v>0</v>
      </c>
      <c r="K31">
        <f t="shared" ref="K31" si="113">SUM(L31:M31)</f>
        <v>9</v>
      </c>
      <c r="L31" s="3">
        <f t="shared" ref="L31" si="114">COUNTIF(CY31:GX31,"T")</f>
        <v>9</v>
      </c>
      <c r="M31" s="3">
        <f t="shared" ref="M31" si="115">COUNTIF(CY31:GX31,"R")</f>
        <v>0</v>
      </c>
      <c r="N31" s="3">
        <f t="shared" ref="N31" si="116">COUNTIF(CY31:GX31,"NR")</f>
        <v>0</v>
      </c>
      <c r="O31">
        <f t="shared" ref="O31" si="117">SUM(P31:Q31)</f>
        <v>0</v>
      </c>
      <c r="P31" s="3">
        <f t="shared" ref="P31" si="118">COUNTIF(GY31:IT31,"T")</f>
        <v>0</v>
      </c>
      <c r="Q31" s="3">
        <f t="shared" ref="Q31" si="119">COUNTIF(GY31:IT31,"R")</f>
        <v>0</v>
      </c>
      <c r="R31" s="3">
        <f t="shared" ref="R31" si="120">COUNTIF(GY31:IT31,"NR")</f>
        <v>0</v>
      </c>
      <c r="S31">
        <f t="shared" ref="S31" si="121">SUM(T31:U31)</f>
        <v>0</v>
      </c>
      <c r="T31" s="3">
        <f t="shared" ref="T31" si="122">COUNTIF(IU31:PR31,"T")</f>
        <v>0</v>
      </c>
      <c r="U31" s="3">
        <f t="shared" ref="U31" si="123">COUNTIF(IU31:PR31,"R")</f>
        <v>0</v>
      </c>
      <c r="V31" s="3">
        <f t="shared" ref="V31" si="124">COUNTIF(IU:PR,"NR")</f>
        <v>0</v>
      </c>
      <c r="W31" s="3">
        <f t="shared" ref="W31" si="125">SUM(AK31,AO31,AS31,AW31,BA31,BE31,BI31,BM31,BQ31,BU31,BY31,CC31,CG31,CK31,CO31,CS31,CW31,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9</v>
      </c>
      <c r="X31" s="4">
        <f t="shared" ref="X31" si="126">SUM(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9</v>
      </c>
      <c r="Y31" s="4">
        <f t="shared" ref="Y31" si="127"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3</v>
      </c>
      <c r="Z31" s="4">
        <f t="shared" ref="Z31" si="128"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3</v>
      </c>
      <c r="AA31">
        <f t="shared" ref="AA31" si="129">SUM(DA31,DE31,DI31,DM31,DQ31,DU31,DY31,EC31,EG31,EK31,EO31,ES31,EW31,FA31,FE31,FI31,FM31,FQ31,FU31,FY31,GC31,GG31,GK31,GO31,GS31,GW31)</f>
        <v>9</v>
      </c>
      <c r="AB31">
        <f t="shared" ref="AB31" si="130">SUM(DB31,DF31,DJ31,DN31,DR31,DV31,DZ31,ED31,EH31,EL31,EP31,ET31,EX31,FB31,FF31,FJ31,FN31,FR31,FV31,FZ31,GD31,GH31,GL31,GP31,GT31,GX31)</f>
        <v>3</v>
      </c>
      <c r="AC31">
        <f t="shared" ref="AC31" si="131">SUM(HA31,HE31,HI31,HM31,HQ31,HU31,HY31,IC31,IG31,IK31,IO31,IS31)</f>
        <v>0</v>
      </c>
      <c r="AD31">
        <f t="shared" ref="AD31" si="132">SUM(HB31,HF31,HJ31,HN31,HR31,HV31,HZ31,ID31,IH31,IL31,IP31,IT31)</f>
        <v>0</v>
      </c>
      <c r="AE31">
        <f t="shared" ref="AE31" si="133">SUM(AK31,AO31,AS31,AW31,BA31,BE31,BI31,BM31,BQ31,BU31,BY31,CC31,CG31,CK31,CO31,CS31,CW31)</f>
        <v>0</v>
      </c>
      <c r="AF31">
        <f t="shared" ref="AF31" si="134">SUM(AL31,AP31,AT31,AX31,BB31,BF31,BJ31,BN31,BR31,BV31,BZ31,CD31,CH31,CL31,CP31,CT31,CX31)</f>
        <v>0</v>
      </c>
      <c r="AG31">
        <f t="shared" ref="AG31" si="135">SUM(IW31,JA31,JE31,JI31,JM31,JQ31,JU31,JY31,KC31,KG31,KK31,KO31,KS31,KW31,LA31,LE31,LI31,LM31,LQ31,LU31,LY31,MC31,MG31,MK31,MO31,MS31,MW31,NA31,NE31,NI31,NM31,NQ31,NU31,NY31,OC31,OG31,OK31,OO31,OS31,OW31,PA31,PE31,PI31,PM31,PQ31)</f>
        <v>0</v>
      </c>
      <c r="AH31">
        <f t="shared" ref="AH31" si="136">SUM(IX31,JB31,JF31,JJ31,JN31,JR31,JV31,JZ31,KD31,KH31,KL31,KP31,KT31,KX31,LB31,LF31,LJ31,LN31,LR31,LV31,LZ31,MD31,MH31,ML31,MP31,MT31,MX31,NB31,NF31,NJ31,NN31,NR31,NV31,NZ31,OD31,OH31,OL31,OP31,OT31,OX31,PB31,PF31,PJ31,PN31,PR31)</f>
        <v>0</v>
      </c>
      <c r="EN31" t="s">
        <v>139</v>
      </c>
      <c r="EY31">
        <v>89</v>
      </c>
      <c r="EZ31" t="s">
        <v>110</v>
      </c>
      <c r="FA31">
        <v>2</v>
      </c>
      <c r="FC31">
        <v>69</v>
      </c>
      <c r="FD31" t="s">
        <v>110</v>
      </c>
      <c r="FG31">
        <v>82</v>
      </c>
      <c r="FH31" t="s">
        <v>110</v>
      </c>
      <c r="FI31">
        <v>1</v>
      </c>
      <c r="FK31">
        <v>90</v>
      </c>
      <c r="FL31" t="s">
        <v>110</v>
      </c>
      <c r="FM31">
        <v>1</v>
      </c>
      <c r="FO31">
        <v>90</v>
      </c>
      <c r="FP31" t="s">
        <v>110</v>
      </c>
      <c r="FR31">
        <v>1</v>
      </c>
      <c r="FS31">
        <v>90</v>
      </c>
      <c r="FT31" t="s">
        <v>110</v>
      </c>
      <c r="FX31" t="s">
        <v>139</v>
      </c>
      <c r="GA31">
        <v>90</v>
      </c>
      <c r="GB31" t="s">
        <v>110</v>
      </c>
      <c r="GE31">
        <v>90</v>
      </c>
      <c r="GF31" t="s">
        <v>110</v>
      </c>
      <c r="GG31">
        <v>4</v>
      </c>
      <c r="GH31">
        <v>1</v>
      </c>
      <c r="GI31">
        <v>81</v>
      </c>
      <c r="GJ31" t="s">
        <v>110</v>
      </c>
      <c r="GK31">
        <v>1</v>
      </c>
      <c r="GL31">
        <v>1</v>
      </c>
      <c r="PS31" s="3">
        <f t="shared" ref="PS31" si="137">COUNTIF(AI31:PR31,"HG")</f>
        <v>2</v>
      </c>
      <c r="PT31" s="3">
        <f t="shared" ref="PT31" si="138">COUNTIF(CY31:GX31,"HG")</f>
        <v>2</v>
      </c>
      <c r="PU31" s="3">
        <f t="shared" ref="PU31" si="139">COUNTIF(GY31:IT31,"HG")</f>
        <v>0</v>
      </c>
      <c r="PV31">
        <f t="shared" ref="PV31" si="140">COUNTIF(IU:PR,"HG")</f>
        <v>0</v>
      </c>
      <c r="PW31">
        <f t="shared" ref="PW31" si="141">G31-(K31+O31+S31)</f>
        <v>0</v>
      </c>
    </row>
    <row r="32" spans="1:439" x14ac:dyDescent="0.2">
      <c r="A32" s="2" t="s">
        <v>150</v>
      </c>
      <c r="B32">
        <f t="shared" ref="B32" si="142">SUM(AI32,AM32,AQ32,AU32,AY32,BC32,BG32,BK32,BO32,BS32,BW32,CA32,CE32,CI32,CM32,CQ32,CU32,CY32,DC32,DG32,DK32,DO32,DS32,DW32,EA32,EE32,EI32,EM32,EQ32,EU32,EY32,FC32,FG32,FK32,FO32,FS32,FW32,GA32,GE32,GI32,GM32,GQ32,GU32,GY32,HC32,HG32,HK32,HO32,HS32,HW32,IA32,IE32,II32,IM32,IQ32,IU32,IY32,JC32,JG32,JK32,JO32,JS32,JW32,KA32,KE32,KI32,KM32,KQ32,KU32,KY32,LC32,LG32,LK32,LO32,LS32,LW32,MA32,ME32,MI32,MM32,MQ32,MU32,MY32,NC32,NG32,NK32,NO32,NS32,NW32,OA32,OE32,OI32,OM32,OQ32,OU32,OY32,PC32,PG32,PK32,PO32)</f>
        <v>477</v>
      </c>
      <c r="C32">
        <f t="shared" ref="C32" si="143">SUM(CY32,DC32,DG32,DK32,DO32,DS32,DW32,EA32,EE32,EI32,EM32,EQ32,EU32,EY32,FC32,FG32,FK32,FO32,FS32,FW32,GA32,GE32,GI32,GM32,GQ32,GU32)</f>
        <v>297</v>
      </c>
      <c r="D32">
        <f t="shared" ref="D32" si="144">SUM(GY32,HC32,HG32,HK32,HO32,HS32,HW32,IA32,IE32,II32,IM32,IQ32)</f>
        <v>0</v>
      </c>
      <c r="E32">
        <f t="shared" ref="E32" si="145">SUM(IU32,IY32,JC32,JG32,JK32,JO32,JS32,JW32,KA32,KE32,KI32,KM32,KQ32,KU32,KY32,LC32,LG32,LK32,LO32,LS32,LW32,MA32,ME32,MI32,MM32,MQ32,MU32,MY32,NC32,NG32,NK32,NO32,NS32,NW32,OA32,OE32,OI32,OM32,OQ32,OU32,OY32,PC32,PG32,PK32,PO32)</f>
        <v>180</v>
      </c>
      <c r="F32">
        <f t="shared" ref="F32" si="146">SUM(AI32,AM32,AQ32,AU32,AY32,BC32,BG32,BK32,BO32,BS32,BW32,CA32,CE32,CI32,CM32,CQ32,CU32)</f>
        <v>0</v>
      </c>
      <c r="G32">
        <f t="shared" ref="G32" si="147">SUM(H32:I32)</f>
        <v>11</v>
      </c>
      <c r="H32" s="3">
        <f t="shared" ref="H32" si="148">COUNTIF(AI32:PR32,"T")</f>
        <v>4</v>
      </c>
      <c r="I32" s="3">
        <f t="shared" ref="I32" si="149">COUNTIF(AI32:PR32,"R")</f>
        <v>7</v>
      </c>
      <c r="J32" s="3">
        <f t="shared" ref="J32" si="150">COUNTIF(AI32:PR32,"NR")</f>
        <v>0</v>
      </c>
      <c r="K32">
        <f t="shared" ref="K32" si="151">SUM(L32:M32)</f>
        <v>9</v>
      </c>
      <c r="L32" s="3">
        <f t="shared" ref="L32" si="152">COUNTIF(CY32:GX32,"T")</f>
        <v>2</v>
      </c>
      <c r="M32" s="3">
        <f t="shared" ref="M32" si="153">COUNTIF(CY32:GX32,"R")</f>
        <v>7</v>
      </c>
      <c r="N32" s="3">
        <f t="shared" ref="N32" si="154">COUNTIF(CY32:GX32,"NR")</f>
        <v>0</v>
      </c>
      <c r="O32">
        <f t="shared" ref="O32" si="155">SUM(P32:Q32)</f>
        <v>0</v>
      </c>
      <c r="P32" s="3">
        <f t="shared" ref="P32" si="156">COUNTIF(GY32:IT32,"T")</f>
        <v>0</v>
      </c>
      <c r="Q32" s="3">
        <f t="shared" ref="Q32" si="157">COUNTIF(GY32:IT32,"R")</f>
        <v>0</v>
      </c>
      <c r="R32" s="3">
        <f t="shared" ref="R32" si="158">COUNTIF(GY32:IT32,"NR")</f>
        <v>0</v>
      </c>
      <c r="S32">
        <f t="shared" ref="S32" si="159">SUM(T32:U32)</f>
        <v>2</v>
      </c>
      <c r="T32" s="3">
        <f t="shared" ref="T32" si="160">COUNTIF(IU32:PR32,"T")</f>
        <v>2</v>
      </c>
      <c r="U32" s="3">
        <f t="shared" ref="U32" si="161">COUNTIF(IU32:PR32,"R")</f>
        <v>0</v>
      </c>
      <c r="V32" s="3">
        <f t="shared" ref="V32" si="162">COUNTIF(IU:PR,"NR")</f>
        <v>0</v>
      </c>
      <c r="W32" s="3">
        <f t="shared" ref="W32" si="163">SUM(AK32,AO32,AS32,AW32,BA32,BE32,BI32,BM32,BQ32,BU32,BY32,CC32,CG32,CK32,CO32,CS32,CW32,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3</v>
      </c>
      <c r="X32" s="4">
        <f t="shared" ref="X32" si="164">SUM(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3</v>
      </c>
      <c r="Y32" s="4">
        <f t="shared" ref="Y32" si="165">SUM(AL32,AP32,AT32,AX32,BB32,BF32,BJ32,BN32,BR32,BV32,BZ32,CD32,CH32,CL32,CP32,CT32,CX32,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2</v>
      </c>
      <c r="Z32" s="4">
        <f t="shared" ref="Z32" si="166">SUM(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2</v>
      </c>
      <c r="AA32">
        <f t="shared" ref="AA32" si="167">SUM(DA32,DE32,DI32,DM32,DQ32,DU32,DY32,EC32,EG32,EK32,EO32,ES32,EW32,FA32,FE32,FI32,FM32,FQ32,FU32,FY32,GC32,GG32,GK32,GO32,GS32,GW32)</f>
        <v>3</v>
      </c>
      <c r="AB32">
        <f t="shared" ref="AB32" si="168">SUM(DB32,DF32,DJ32,DN32,DR32,DV32,DZ32,ED32,EH32,EL32,EP32,ET32,EX32,FB32,FF32,FJ32,FN32,FR32,FV32,FZ32,GD32,GH32,GL32,GP32,GT32,GX32)</f>
        <v>2</v>
      </c>
      <c r="AC32">
        <f t="shared" ref="AC32" si="169">SUM(HA32,HE32,HI32,HM32,HQ32,HU32,HY32,IC32,IG32,IK32,IO32,IS32)</f>
        <v>0</v>
      </c>
      <c r="AD32">
        <f t="shared" ref="AD32" si="170">SUM(HB32,HF32,HJ32,HN32,HR32,HV32,HZ32,ID32,IH32,IL32,IP32,IT32)</f>
        <v>0</v>
      </c>
      <c r="AE32">
        <f t="shared" ref="AE32" si="171">SUM(AK32,AO32,AS32,AW32,BA32,BE32,BI32,BM32,BQ32,BU32,BY32,CC32,CG32,CK32,CO32,CS32,CW32)</f>
        <v>0</v>
      </c>
      <c r="AF32">
        <f t="shared" ref="AF32" si="172">SUM(AL32,AP32,AT32,AX32,BB32,BF32,BJ32,BN32,BR32,BV32,BZ32,CD32,CH32,CL32,CP32,CT32,CX32)</f>
        <v>0</v>
      </c>
      <c r="AG32">
        <f t="shared" ref="AG32" si="173">SUM(IW32,JA32,JE32,JI32,JM32,JQ32,JU32,JY32,KC32,KG32,KK32,KO32,KS32,KW32,LA32,LE32,LI32,LM32,LQ32,LU32,LY32,MC32,MG32,MK32,MO32,MS32,MW32,NA32,NE32,NI32,NM32,NQ32,NU32,NY32,OC32,OG32,OK32,OO32,OS32,OW32,PA32,PE32,PI32,PM32,PQ32)</f>
        <v>0</v>
      </c>
      <c r="AH32">
        <f t="shared" ref="AH32" si="174">SUM(IX32,JB32,JF32,JJ32,JN32,JR32,JV32,JZ32,KD32,KH32,KL32,KP32,KT32,KX32,LB32,LF32,LJ32,LN32,LR32,LV32,LZ32,MD32,MH32,ML32,MP32,MT32,MX32,NB32,NF32,NJ32,NN32,NR32,NV32,NZ32,OD32,OH32,OL32,OP32,OT32,OX32,PB32,PF32,PJ32,PN32,PR32)</f>
        <v>0</v>
      </c>
      <c r="EY32">
        <v>27</v>
      </c>
      <c r="EZ32" t="s">
        <v>136</v>
      </c>
      <c r="FC32">
        <v>21</v>
      </c>
      <c r="FD32" t="s">
        <v>136</v>
      </c>
      <c r="FG32">
        <v>8</v>
      </c>
      <c r="FH32" t="s">
        <v>136</v>
      </c>
      <c r="FK32">
        <v>45</v>
      </c>
      <c r="FL32" t="s">
        <v>110</v>
      </c>
      <c r="FO32">
        <v>22</v>
      </c>
      <c r="FP32" t="s">
        <v>136</v>
      </c>
      <c r="FR32">
        <v>1</v>
      </c>
      <c r="FT32" t="s">
        <v>139</v>
      </c>
      <c r="FW32">
        <v>27</v>
      </c>
      <c r="FX32" t="s">
        <v>136</v>
      </c>
      <c r="FY32">
        <v>1</v>
      </c>
      <c r="FZ32">
        <v>1</v>
      </c>
      <c r="GA32">
        <v>80</v>
      </c>
      <c r="GB32" t="s">
        <v>110</v>
      </c>
      <c r="GE32">
        <v>45</v>
      </c>
      <c r="GF32" t="s">
        <v>136</v>
      </c>
      <c r="GI32">
        <v>22</v>
      </c>
      <c r="GJ32" t="s">
        <v>136</v>
      </c>
      <c r="GK32">
        <v>2</v>
      </c>
      <c r="KQ32">
        <v>90</v>
      </c>
      <c r="KR32" t="s">
        <v>110</v>
      </c>
      <c r="KU32">
        <v>90</v>
      </c>
      <c r="KV32" t="s">
        <v>110</v>
      </c>
      <c r="PS32" s="3">
        <f t="shared" ref="PS32" si="175">COUNTIF(AI32:PR32,"HG")</f>
        <v>1</v>
      </c>
      <c r="PT32" s="3">
        <f t="shared" ref="PT32" si="176">COUNTIF(CY32:GX32,"HG")</f>
        <v>1</v>
      </c>
      <c r="PU32" s="3">
        <f t="shared" ref="PU32" si="177">COUNTIF(GY32:IT32,"HG")</f>
        <v>0</v>
      </c>
      <c r="PV32">
        <f t="shared" ref="PV32" si="178">COUNTIF(IU:PR,"HG")</f>
        <v>0</v>
      </c>
      <c r="PW32">
        <f t="shared" ref="PW32" si="179">G32-(K32+O32+S32)</f>
        <v>0</v>
      </c>
    </row>
  </sheetData>
  <phoneticPr fontId="1" type="noConversion"/>
  <conditionalFormatting sqref="A22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2026-04-21T11:20:45Z</dcterms:modified>
</cp:coreProperties>
</file>