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86A7298-3773-3848-AF84-F1576A398496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<sst xmlns="http://schemas.openxmlformats.org/spreadsheetml/2006/main" count="1473" uniqueCount="152">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</sst>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GL1" activePane="topRight" state="frozen"/>
      <selection pane="topRight" activeCell="GS19" sqref="GS19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2265</v>
      </c>
      <c r="C2">
        <f>SUM(CY2,DC2,DG2,DK2,DO2,DS2,DW2,EA2,EE2,EI2,EM2,EQ2,EU2,EY2,FC2,FG2,FK2,FO2,FS2,FW2,GA2,GE2,GI2,GM2,GQ2,GU2)</f>
        <v>1980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27</v>
      </c>
      <c r="H2" s="3">
        <f>COUNTIF(AI2:PR2,"T")</f>
        <v>27</v>
      </c>
      <c r="I2" s="3">
        <f>COUNTIF(AI2:PR2,"R")</f>
        <v>0</v>
      </c>
      <c r="J2" s="3">
        <f>COUNTIF(AI2:PR2,"NR")</f>
        <v>6</v>
      </c>
      <c r="K2">
        <f>SUM(L2:M2)</f>
        <v>22</v>
      </c>
      <c r="L2" s="3">
        <f>COUNTIF(CY2:GX2,"T")</f>
        <v>22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1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K2">
        <v>90</v>
      </c>
      <c r="FL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GE2">
        <v>90</v>
      </c>
      <c r="GF2" t="s">
        <v>110</v>
      </c>
      <c r="GI2">
        <v>90</v>
      </c>
      <c r="GJ2" t="s">
        <v>110</v>
      </c>
      <c r="GL2">
        <v>1</v>
      </c>
      <c r="GM2">
        <v>90</v>
      </c>
      <c r="GN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900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810</v>
      </c>
      <c r="F3">
        <f t="shared" ref="F3:F30" si="5">SUM(AI3,AM3,AQ3,AU3,AY3,BC3,BG3,BK3,BO3,BS3,BW3,CA3,CE3,CI3,CM3,CQ3,CU3)</f>
        <v>90</v>
      </c>
      <c r="G3">
        <f t="shared" ref="G3:G29" si="6">SUM(H3:I3)</f>
        <v>11</v>
      </c>
      <c r="H3" s="3">
        <f t="shared" ref="H3:H29" si="7">COUNTIF(AI3:PR3,"T")</f>
        <v>9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9</v>
      </c>
      <c r="T3" s="3">
        <f t="shared" ref="T3:T29" si="19">COUNTIF(IU3:PR3,"T")</f>
        <v>9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L3" t="s">
        <v>139</v>
      </c>
      <c r="FP3" t="s">
        <v>139</v>
      </c>
      <c r="FT3" t="s">
        <v>139</v>
      </c>
      <c r="FX3" t="s">
        <v>139</v>
      </c>
      <c r="GB3" t="s">
        <v>139</v>
      </c>
      <c r="GF3" t="s">
        <v>139</v>
      </c>
      <c r="GJ3" t="s">
        <v>139</v>
      </c>
      <c r="GN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LG3">
        <v>90</v>
      </c>
      <c r="LH3" t="s">
        <v>110</v>
      </c>
      <c r="ME3">
        <v>90</v>
      </c>
      <c r="MF3" t="s">
        <v>110</v>
      </c>
      <c r="PS3" s="3">
        <f t="shared" ref="PS3:PS29" si="33">COUNTIF(AI3:PR3,"HG")</f>
        <v>30</v>
      </c>
      <c r="PT3" s="3">
        <f t="shared" ref="PT3:PT29" si="34">COUNTIF(CY3:GX3,"HG")</f>
        <v>24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13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13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L4" t="s">
        <v>138</v>
      </c>
      <c r="FP4" t="s">
        <v>139</v>
      </c>
      <c r="FT4" t="s">
        <v>138</v>
      </c>
      <c r="FX4" t="s">
        <v>139</v>
      </c>
      <c r="GB4" t="s">
        <v>138</v>
      </c>
      <c r="GF4" t="s">
        <v>139</v>
      </c>
      <c r="GJ4" t="s">
        <v>138</v>
      </c>
      <c r="GN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9</v>
      </c>
      <c r="PT4" s="3">
        <f t="shared" ref="PT4" si="64">COUNTIF(CY4:GX4,"HG")</f>
        <v>9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1919</v>
      </c>
      <c r="C5">
        <f t="shared" si="2"/>
        <v>1309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28</v>
      </c>
      <c r="H5" s="3">
        <f t="shared" si="7"/>
        <v>23</v>
      </c>
      <c r="I5" s="3">
        <f t="shared" si="8"/>
        <v>5</v>
      </c>
      <c r="J5" s="3">
        <f t="shared" si="9"/>
        <v>0</v>
      </c>
      <c r="K5">
        <f t="shared" si="10"/>
        <v>18</v>
      </c>
      <c r="L5" s="3">
        <f t="shared" si="11"/>
        <v>15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0</v>
      </c>
      <c r="Z5" s="4">
        <f t="shared" si="24"/>
        <v>0</v>
      </c>
      <c r="AA5">
        <f t="shared" si="25"/>
        <v>1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K5">
        <v>90</v>
      </c>
      <c r="FL5" t="s">
        <v>110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GE5">
        <v>90</v>
      </c>
      <c r="GF5" t="s">
        <v>110</v>
      </c>
      <c r="GI5">
        <v>90</v>
      </c>
      <c r="GJ5" t="s">
        <v>110</v>
      </c>
      <c r="GM5">
        <v>78</v>
      </c>
      <c r="GN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L6" t="s">
        <v>139</v>
      </c>
      <c r="FP6" t="s">
        <v>139</v>
      </c>
      <c r="FT6" t="s">
        <v>139</v>
      </c>
      <c r="FX6" t="s">
        <v>139</v>
      </c>
      <c r="GB6" t="s">
        <v>139</v>
      </c>
      <c r="GF6" t="s">
        <v>139</v>
      </c>
      <c r="GJ6" t="s">
        <v>139</v>
      </c>
      <c r="GN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30</v>
      </c>
      <c r="PT6" s="3">
        <f t="shared" si="34"/>
        <v>23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2478</v>
      </c>
      <c r="C7">
        <f t="shared" si="2"/>
        <v>1633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30</v>
      </c>
      <c r="H7" s="3">
        <f t="shared" si="7"/>
        <v>29</v>
      </c>
      <c r="I7" s="3">
        <f t="shared" si="8"/>
        <v>1</v>
      </c>
      <c r="J7" s="3">
        <f t="shared" si="9"/>
        <v>0</v>
      </c>
      <c r="K7">
        <f t="shared" si="10"/>
        <v>19</v>
      </c>
      <c r="L7" s="3">
        <f t="shared" si="11"/>
        <v>19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1</v>
      </c>
      <c r="Z7" s="4">
        <f t="shared" si="24"/>
        <v>1</v>
      </c>
      <c r="AA7">
        <f t="shared" si="25"/>
        <v>2</v>
      </c>
      <c r="AB7">
        <f t="shared" si="26"/>
        <v>1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K7">
        <v>90</v>
      </c>
      <c r="FL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E7">
        <v>90</v>
      </c>
      <c r="GF7" t="s">
        <v>110</v>
      </c>
      <c r="GH7">
        <v>1</v>
      </c>
      <c r="GI7">
        <v>90</v>
      </c>
      <c r="GJ7" t="s">
        <v>110</v>
      </c>
      <c r="GM7">
        <v>90</v>
      </c>
      <c r="GN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L8" t="s">
        <v>139</v>
      </c>
      <c r="FP8" t="s">
        <v>139</v>
      </c>
      <c r="FT8" t="s">
        <v>139</v>
      </c>
      <c r="FX8" t="s">
        <v>139</v>
      </c>
      <c r="GB8" t="s">
        <v>139</v>
      </c>
      <c r="GF8" t="s">
        <v>139</v>
      </c>
      <c r="GJ8" t="s">
        <v>139</v>
      </c>
      <c r="GN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26</v>
      </c>
      <c r="PT8" s="3">
        <f t="shared" si="34"/>
        <v>22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2632</v>
      </c>
      <c r="C9">
        <f t="shared" si="2"/>
        <v>1876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35</v>
      </c>
      <c r="H9" s="3">
        <f t="shared" si="7"/>
        <v>29</v>
      </c>
      <c r="I9" s="3">
        <f t="shared" si="8"/>
        <v>6</v>
      </c>
      <c r="J9" s="3">
        <f t="shared" si="9"/>
        <v>0</v>
      </c>
      <c r="K9">
        <f t="shared" si="10"/>
        <v>23</v>
      </c>
      <c r="L9" s="3">
        <f t="shared" si="11"/>
        <v>20</v>
      </c>
      <c r="M9" s="3">
        <f t="shared" si="12"/>
        <v>3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1</v>
      </c>
      <c r="X9" s="4">
        <f t="shared" si="22"/>
        <v>1</v>
      </c>
      <c r="Y9" s="4">
        <f t="shared" si="23"/>
        <v>4</v>
      </c>
      <c r="Z9" s="4">
        <f t="shared" si="24"/>
        <v>3</v>
      </c>
      <c r="AA9">
        <f t="shared" si="25"/>
        <v>1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K9">
        <v>90</v>
      </c>
      <c r="FL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GE9">
        <v>90</v>
      </c>
      <c r="GF9" t="s">
        <v>110</v>
      </c>
      <c r="GI9">
        <v>90</v>
      </c>
      <c r="GJ9" t="s">
        <v>110</v>
      </c>
      <c r="GM9">
        <v>45</v>
      </c>
      <c r="GN9" t="s">
        <v>136</v>
      </c>
      <c r="GO9">
        <v>1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1838</v>
      </c>
      <c r="C10">
        <f t="shared" si="2"/>
        <v>1238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27</v>
      </c>
      <c r="H10" s="3">
        <f t="shared" si="7"/>
        <v>19</v>
      </c>
      <c r="I10" s="3">
        <f t="shared" si="8"/>
        <v>8</v>
      </c>
      <c r="J10" s="3">
        <f t="shared" si="9"/>
        <v>3</v>
      </c>
      <c r="K10">
        <f t="shared" si="10"/>
        <v>16</v>
      </c>
      <c r="L10" s="3">
        <f t="shared" si="11"/>
        <v>14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1</v>
      </c>
      <c r="Z10" s="4">
        <f t="shared" si="24"/>
        <v>1</v>
      </c>
      <c r="AA10">
        <f t="shared" si="25"/>
        <v>0</v>
      </c>
      <c r="AB10">
        <f t="shared" si="26"/>
        <v>1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K10">
        <v>90</v>
      </c>
      <c r="FL10" t="s">
        <v>110</v>
      </c>
      <c r="FN10">
        <v>1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GE10">
        <v>73</v>
      </c>
      <c r="GF10" t="s">
        <v>110</v>
      </c>
      <c r="GI10">
        <v>90</v>
      </c>
      <c r="GJ10" t="s">
        <v>110</v>
      </c>
      <c r="GM10">
        <v>74</v>
      </c>
      <c r="GN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1263</v>
      </c>
      <c r="C11">
        <f t="shared" si="2"/>
        <v>345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26</v>
      </c>
      <c r="H11" s="3">
        <f t="shared" si="7"/>
        <v>18</v>
      </c>
      <c r="I11" s="3">
        <f t="shared" si="8"/>
        <v>8</v>
      </c>
      <c r="J11" s="3">
        <f t="shared" si="9"/>
        <v>3</v>
      </c>
      <c r="K11">
        <f t="shared" si="10"/>
        <v>11</v>
      </c>
      <c r="L11" s="3">
        <f t="shared" si="11"/>
        <v>4</v>
      </c>
      <c r="M11" s="3">
        <f t="shared" si="12"/>
        <v>7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L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E11">
        <v>17</v>
      </c>
      <c r="GF11" t="s">
        <v>136</v>
      </c>
      <c r="GI11">
        <v>1</v>
      </c>
      <c r="GJ11" t="s">
        <v>136</v>
      </c>
      <c r="GM11">
        <v>16</v>
      </c>
      <c r="GN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14</v>
      </c>
      <c r="PT11" s="3">
        <f t="shared" si="34"/>
        <v>12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L13" t="s">
        <v>139</v>
      </c>
      <c r="FP13" t="s">
        <v>139</v>
      </c>
      <c r="FT13" t="s">
        <v>139</v>
      </c>
      <c r="FX13" t="s">
        <v>139</v>
      </c>
      <c r="GB13" t="s">
        <v>139</v>
      </c>
      <c r="GF13" t="s">
        <v>139</v>
      </c>
      <c r="GJ13" t="s">
        <v>139</v>
      </c>
      <c r="GN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29</v>
      </c>
      <c r="PT13" s="3">
        <f t="shared" si="34"/>
        <v>22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2300</v>
      </c>
      <c r="C14">
        <f t="shared" si="2"/>
        <v>1202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38</v>
      </c>
      <c r="H14" s="3">
        <f t="shared" si="7"/>
        <v>24</v>
      </c>
      <c r="I14" s="3">
        <f t="shared" si="8"/>
        <v>14</v>
      </c>
      <c r="J14" s="3">
        <f t="shared" si="9"/>
        <v>2</v>
      </c>
      <c r="K14">
        <f t="shared" si="10"/>
        <v>21</v>
      </c>
      <c r="L14" s="3">
        <f t="shared" si="11"/>
        <v>13</v>
      </c>
      <c r="M14" s="3">
        <f t="shared" si="12"/>
        <v>8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5</v>
      </c>
      <c r="X14" s="4">
        <f t="shared" si="22"/>
        <v>5</v>
      </c>
      <c r="Y14" s="4">
        <f t="shared" si="23"/>
        <v>5</v>
      </c>
      <c r="Z14" s="4">
        <f t="shared" si="24"/>
        <v>5</v>
      </c>
      <c r="AA14">
        <f t="shared" si="25"/>
        <v>4</v>
      </c>
      <c r="AB14">
        <f t="shared" si="26"/>
        <v>4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K14">
        <v>38</v>
      </c>
      <c r="FL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E14">
        <v>90</v>
      </c>
      <c r="GF14" t="s">
        <v>110</v>
      </c>
      <c r="GG14">
        <v>1</v>
      </c>
      <c r="GI14">
        <v>89</v>
      </c>
      <c r="GJ14" t="s">
        <v>110</v>
      </c>
      <c r="GK14">
        <v>1</v>
      </c>
      <c r="GL14">
        <v>1</v>
      </c>
      <c r="GM14">
        <v>90</v>
      </c>
      <c r="GN14" t="s">
        <v>110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1663</v>
      </c>
      <c r="C15">
        <f t="shared" si="2"/>
        <v>926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36</v>
      </c>
      <c r="H15" s="3">
        <f t="shared" si="7"/>
        <v>20</v>
      </c>
      <c r="I15" s="3">
        <f t="shared" si="8"/>
        <v>16</v>
      </c>
      <c r="J15" s="3">
        <f t="shared" si="9"/>
        <v>0</v>
      </c>
      <c r="K15">
        <f t="shared" si="10"/>
        <v>22</v>
      </c>
      <c r="L15" s="3">
        <f t="shared" si="11"/>
        <v>10</v>
      </c>
      <c r="M15" s="3">
        <f t="shared" si="12"/>
        <v>12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6</v>
      </c>
      <c r="X15" s="4">
        <f t="shared" si="22"/>
        <v>4</v>
      </c>
      <c r="Y15" s="4">
        <f t="shared" si="23"/>
        <v>3</v>
      </c>
      <c r="Z15" s="4">
        <f t="shared" si="24"/>
        <v>3</v>
      </c>
      <c r="AA15">
        <f t="shared" si="25"/>
        <v>4</v>
      </c>
      <c r="AB15">
        <f t="shared" si="26"/>
        <v>2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K15">
        <v>45</v>
      </c>
      <c r="FL15" t="s">
        <v>110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E15">
        <v>64</v>
      </c>
      <c r="GF15" t="s">
        <v>110</v>
      </c>
      <c r="GI15">
        <v>22</v>
      </c>
      <c r="GJ15" t="s">
        <v>136</v>
      </c>
      <c r="GL15">
        <v>1</v>
      </c>
      <c r="GM15">
        <v>90</v>
      </c>
      <c r="GN15" t="s">
        <v>110</v>
      </c>
      <c r="GO15">
        <v>1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1706</v>
      </c>
      <c r="C18">
        <f t="shared" si="2"/>
        <v>1072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33</v>
      </c>
      <c r="H18" s="3">
        <f t="shared" si="7"/>
        <v>21</v>
      </c>
      <c r="I18" s="3">
        <f t="shared" si="8"/>
        <v>12</v>
      </c>
      <c r="J18" s="3">
        <f t="shared" si="9"/>
        <v>0</v>
      </c>
      <c r="K18">
        <f t="shared" si="10"/>
        <v>19</v>
      </c>
      <c r="L18" s="3">
        <f t="shared" si="11"/>
        <v>13</v>
      </c>
      <c r="M18" s="3">
        <f t="shared" si="12"/>
        <v>6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4</v>
      </c>
      <c r="X18" s="4">
        <f t="shared" si="22"/>
        <v>4</v>
      </c>
      <c r="Y18" s="4">
        <f t="shared" si="23"/>
        <v>5</v>
      </c>
      <c r="Z18" s="4">
        <f t="shared" si="24"/>
        <v>2</v>
      </c>
      <c r="AA18">
        <f t="shared" si="25"/>
        <v>4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K18">
        <v>45</v>
      </c>
      <c r="FL18" t="s">
        <v>136</v>
      </c>
      <c r="FM18">
        <v>1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E18">
        <v>45</v>
      </c>
      <c r="GF18" t="s">
        <v>110</v>
      </c>
      <c r="GI18">
        <v>68</v>
      </c>
      <c r="GJ18" t="s">
        <v>110</v>
      </c>
      <c r="GM18">
        <v>90</v>
      </c>
      <c r="GN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1322</v>
      </c>
      <c r="C19">
        <f t="shared" si="2"/>
        <v>536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29</v>
      </c>
      <c r="H19" s="3">
        <f t="shared" si="7"/>
        <v>13</v>
      </c>
      <c r="I19" s="3">
        <f t="shared" si="8"/>
        <v>16</v>
      </c>
      <c r="J19" s="3">
        <f t="shared" si="9"/>
        <v>2</v>
      </c>
      <c r="K19">
        <f t="shared" si="10"/>
        <v>14</v>
      </c>
      <c r="L19" s="3">
        <f t="shared" si="11"/>
        <v>5</v>
      </c>
      <c r="M19" s="3">
        <f t="shared" si="12"/>
        <v>9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K19">
        <v>45</v>
      </c>
      <c r="FL19" t="s">
        <v>136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E19">
        <v>26</v>
      </c>
      <c r="GF19" t="s">
        <v>136</v>
      </c>
      <c r="GI19">
        <v>68</v>
      </c>
      <c r="GJ19" t="s">
        <v>110</v>
      </c>
      <c r="GM19">
        <v>45</v>
      </c>
      <c r="GN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L20" t="s">
        <v>139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F20" t="s">
        <v>139</v>
      </c>
      <c r="GJ20" t="s">
        <v>139</v>
      </c>
      <c r="GN20" t="s">
        <v>139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4</v>
      </c>
      <c r="PT20" s="3">
        <f t="shared" si="34"/>
        <v>4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2851</v>
      </c>
      <c r="C22">
        <f t="shared" si="2"/>
        <v>1832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35</v>
      </c>
      <c r="H22" s="3">
        <f t="shared" si="7"/>
        <v>35</v>
      </c>
      <c r="I22" s="3">
        <f t="shared" si="8"/>
        <v>0</v>
      </c>
      <c r="J22" s="3">
        <f t="shared" si="9"/>
        <v>0</v>
      </c>
      <c r="K22">
        <f t="shared" si="10"/>
        <v>21</v>
      </c>
      <c r="L22" s="3">
        <f t="shared" si="11"/>
        <v>21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K22">
        <v>43</v>
      </c>
      <c r="FL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F22" t="s">
        <v>139</v>
      </c>
      <c r="GJ22" t="s">
        <v>139</v>
      </c>
      <c r="GN22" t="s">
        <v>139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3</v>
      </c>
      <c r="PT22" s="3">
        <f t="shared" si="34"/>
        <v>3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2492</v>
      </c>
      <c r="C24">
        <f t="shared" si="2"/>
        <v>1800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32</v>
      </c>
      <c r="H24" s="3">
        <f t="shared" si="7"/>
        <v>29</v>
      </c>
      <c r="I24" s="3">
        <f t="shared" si="8"/>
        <v>3</v>
      </c>
      <c r="J24" s="3">
        <f t="shared" si="9"/>
        <v>1</v>
      </c>
      <c r="K24">
        <f t="shared" si="10"/>
        <v>21</v>
      </c>
      <c r="L24" s="3">
        <f t="shared" si="11"/>
        <v>21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L24" t="s">
        <v>139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E24">
        <v>90</v>
      </c>
      <c r="GF24" t="s">
        <v>110</v>
      </c>
      <c r="GI24">
        <v>90</v>
      </c>
      <c r="GJ24" t="s">
        <v>110</v>
      </c>
      <c r="GM24">
        <v>45</v>
      </c>
      <c r="GN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3</v>
      </c>
      <c r="PT24" s="3">
        <f t="shared" si="34"/>
        <v>2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1147</v>
      </c>
      <c r="C26">
        <f t="shared" si="2"/>
        <v>91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25</v>
      </c>
      <c r="H26" s="3">
        <f t="shared" si="7"/>
        <v>12</v>
      </c>
      <c r="I26" s="3">
        <f t="shared" si="8"/>
        <v>13</v>
      </c>
      <c r="J26" s="3">
        <f t="shared" si="9"/>
        <v>1</v>
      </c>
      <c r="K26">
        <f t="shared" si="10"/>
        <v>7</v>
      </c>
      <c r="L26" s="3">
        <f t="shared" si="11"/>
        <v>1</v>
      </c>
      <c r="M26" s="3">
        <f t="shared" si="12"/>
        <v>6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4</v>
      </c>
      <c r="X26" s="4">
        <f t="shared" si="22"/>
        <v>3</v>
      </c>
      <c r="Y26" s="4">
        <f t="shared" si="23"/>
        <v>0</v>
      </c>
      <c r="Z26" s="4">
        <f t="shared" si="24"/>
        <v>0</v>
      </c>
      <c r="AA26">
        <f t="shared" si="25"/>
        <v>1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L26" t="s">
        <v>139</v>
      </c>
      <c r="FP26" t="s">
        <v>139</v>
      </c>
      <c r="FT26" t="s">
        <v>139</v>
      </c>
      <c r="FX26" t="s">
        <v>139</v>
      </c>
      <c r="GB26" t="s">
        <v>139</v>
      </c>
      <c r="GE26">
        <v>26</v>
      </c>
      <c r="GF26" t="s">
        <v>136</v>
      </c>
      <c r="GG26">
        <v>1</v>
      </c>
      <c r="GI26">
        <v>9</v>
      </c>
      <c r="GJ26" t="s">
        <v>136</v>
      </c>
      <c r="GM26">
        <v>12</v>
      </c>
      <c r="GN26" t="s">
        <v>136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20</v>
      </c>
      <c r="PT26" s="3">
        <f t="shared" si="34"/>
        <v>17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2017</v>
      </c>
      <c r="C27">
        <f t="shared" si="2"/>
        <v>1522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23</v>
      </c>
      <c r="H27" s="3">
        <f t="shared" si="7"/>
        <v>23</v>
      </c>
      <c r="I27" s="3">
        <f t="shared" si="8"/>
        <v>0</v>
      </c>
      <c r="J27" s="3">
        <f t="shared" si="9"/>
        <v>1</v>
      </c>
      <c r="K27">
        <f t="shared" si="10"/>
        <v>17</v>
      </c>
      <c r="L27" s="3">
        <f t="shared" si="11"/>
        <v>17</v>
      </c>
      <c r="M27" s="3">
        <f t="shared" si="12"/>
        <v>0</v>
      </c>
      <c r="N27" s="3">
        <f t="shared" si="13"/>
        <v>1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2</v>
      </c>
      <c r="Z27" s="4">
        <f t="shared" si="24"/>
        <v>2</v>
      </c>
      <c r="AA27">
        <f t="shared" si="25"/>
        <v>0</v>
      </c>
      <c r="AB27">
        <f t="shared" si="26"/>
        <v>2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K27">
        <v>90</v>
      </c>
      <c r="FL27" t="s">
        <v>110</v>
      </c>
      <c r="FN27">
        <v>1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GF27" t="s">
        <v>138</v>
      </c>
      <c r="GJ27" t="s">
        <v>139</v>
      </c>
      <c r="GM27">
        <v>90</v>
      </c>
      <c r="GN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5</v>
      </c>
      <c r="PT27" s="3">
        <f t="shared" si="34"/>
        <v>4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1276</v>
      </c>
      <c r="C29">
        <f t="shared" si="2"/>
        <v>1036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21</v>
      </c>
      <c r="H29" s="3">
        <f t="shared" si="7"/>
        <v>15</v>
      </c>
      <c r="I29" s="3">
        <f t="shared" si="8"/>
        <v>6</v>
      </c>
      <c r="J29" s="3">
        <f t="shared" si="9"/>
        <v>2</v>
      </c>
      <c r="K29">
        <f t="shared" si="10"/>
        <v>17</v>
      </c>
      <c r="L29" s="3">
        <f t="shared" si="11"/>
        <v>13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K29">
        <v>52</v>
      </c>
      <c r="FL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GE29">
        <v>64</v>
      </c>
      <c r="GF29" t="s">
        <v>110</v>
      </c>
      <c r="GI29">
        <v>90</v>
      </c>
      <c r="GJ29" t="s">
        <v>110</v>
      </c>
      <c r="GM29">
        <v>90</v>
      </c>
      <c r="GN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L30" t="s">
        <v>139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GF30" t="s">
        <v>139</v>
      </c>
      <c r="GJ30" t="s">
        <v>139</v>
      </c>
      <c r="GN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6</v>
      </c>
      <c r="PT30" s="3">
        <f t="shared" ref="PT30" si="100">COUNTIF(CY30:GX30,"HG")</f>
        <v>6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771</v>
      </c>
      <c r="C31">
        <f t="shared" ref="C31" si="105">SUM(CY31,DC31,DG31,DK31,DO31,DS31,DW31,EA31,EE31,EI31,EM31,EQ31,EU31,EY31,FC31,FG31,FK31,FO31,FS31,FW31,GA31,GE31,GI31,GM31,GQ31,GU31)</f>
        <v>771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9</v>
      </c>
      <c r="H31" s="3">
        <f t="shared" ref="H31" si="110">COUNTIF(AI31:PR31,"T")</f>
        <v>9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9</v>
      </c>
      <c r="L31" s="3">
        <f t="shared" ref="L31" si="114">COUNTIF(CY31:GX31,"T")</f>
        <v>9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AA31">
        <f t="shared" ref="AA31" si="129">SUM(DA31,DE31,DI31,DM31,DQ31,DU31,DY31,EC31,EG31,EK31,EO31,ES31,EW31,FA31,FE31,FI31,FM31,FQ31,FU31,FY31,GC31,GG31,GK31,GO31,GS31,GW31)</f>
        <v>9</v>
      </c>
      <c r="AB31">
        <f t="shared" ref="AB31" si="130">SUM(DB31,DF31,DJ31,DN31,DR31,DV31,DZ31,ED31,EH31,EL31,EP31,ET31,EX31,FB31,FF31,FJ31,FN31,FR31,FV31,FZ31,GD31,GH31,GL31,GP31,GT31,GX31)</f>
        <v>3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K31">
        <v>90</v>
      </c>
      <c r="FL31" t="s">
        <v>110</v>
      </c>
      <c r="FM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GE31">
        <v>90</v>
      </c>
      <c r="GF31" t="s">
        <v>110</v>
      </c>
      <c r="GG31">
        <v>4</v>
      </c>
      <c r="GH31">
        <v>1</v>
      </c>
      <c r="GI31">
        <v>81</v>
      </c>
      <c r="GJ31" t="s">
        <v>110</v>
      </c>
      <c r="GK31">
        <v>1</v>
      </c>
      <c r="GL31">
        <v>1</v>
      </c>
      <c r="GN31" t="s">
        <v>139</v>
      </c>
      <c r="PS31" s="3">
        <f t="shared" ref="PS31" si="137">COUNTIF(AI31:PR31,"HG")</f>
        <v>3</v>
      </c>
      <c r="PT31" s="3">
        <f t="shared" ref="PT31" si="138">COUNTIF(CY31:GX31,"HG")</f>
        <v>3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522</v>
      </c>
      <c r="C32">
        <f t="shared" ref="C32" si="143">SUM(CY32,DC32,DG32,DK32,DO32,DS32,DW32,EA32,EE32,EI32,EM32,EQ32,EU32,EY32,FC32,FG32,FK32,FO32,FS32,FW32,GA32,GE32,GI32,GM32,GQ32,GU32)</f>
        <v>342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12</v>
      </c>
      <c r="H32" s="3">
        <f t="shared" ref="H32" si="148">COUNTIF(AI32:PR32,"T")</f>
        <v>4</v>
      </c>
      <c r="I32" s="3">
        <f t="shared" ref="I32" si="149">COUNTIF(AI32:PR32,"R")</f>
        <v>8</v>
      </c>
      <c r="J32" s="3">
        <f t="shared" ref="J32" si="150">COUNTIF(AI32:PR32,"NR")</f>
        <v>0</v>
      </c>
      <c r="K32">
        <f t="shared" ref="K32" si="151">SUM(L32:M32)</f>
        <v>10</v>
      </c>
      <c r="L32" s="3">
        <f t="shared" ref="L32" si="152">COUNTIF(CY32:GX32,"T")</f>
        <v>2</v>
      </c>
      <c r="M32" s="3">
        <f t="shared" ref="M32" si="153">COUNTIF(CY32:GX32,"R")</f>
        <v>8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3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K32">
        <v>45</v>
      </c>
      <c r="FL32" t="s">
        <v>110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GE32">
        <v>45</v>
      </c>
      <c r="GF32" t="s">
        <v>136</v>
      </c>
      <c r="GI32">
        <v>22</v>
      </c>
      <c r="GJ32" t="s">
        <v>136</v>
      </c>
      <c r="GK32">
        <v>2</v>
      </c>
      <c r="GM32">
        <v>45</v>
      </c>
      <c r="GN32" t="s">
        <v>136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2026-04-27T13:53:27Z</dcterms:modified>
</cp:coreProperties>
</file>