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E296BF50-6DB6-CA40-9BA8-65CBB0EE935D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0" i="1" l="1"/>
  <c r="PT30" i="1"/>
  <c r="PU30" i="1"/>
  <c r="PV30" i="1"/>
  <c r="PW30" i="1"/>
  <c r="H30" i="1"/>
  <c r="G30" i="1" s="1"/>
  <c r="I30" i="1"/>
  <c r="J30" i="1"/>
  <c r="L30" i="1"/>
  <c r="K30" i="1" s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S8" i="1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O18" i="1" l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<sst xmlns="http://schemas.openxmlformats.org/spreadsheetml/2006/main" count="1144" uniqueCount="150">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</sst>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0"/>
  <sheetViews>
    <sheetView tabSelected="1" topLeftCell="A20" workbookViewId="0">
      <pane xSplit="1" topLeftCell="PN1" activePane="topRight" state="frozen"/>
      <selection pane="topRight" activeCell="PY31" sqref="PY31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1185</v>
      </c>
      <c r="C2">
        <f>SUM(CY2,DC2,DG2,DK2,DO2,DS2,DW2,EA2,EE2,EI2,EM2,EQ2,EU2,EY2,FC2,FG2,FK2,FO2,FS2,FW2,GA2,GE2,GI2,GM2,GQ2,GU2)</f>
        <v>900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15</v>
      </c>
      <c r="H2" s="3">
        <f>COUNTIF(AI2:PR2,"T")</f>
        <v>15</v>
      </c>
      <c r="I2" s="3">
        <f>COUNTIF(AI2:PR2,"R")</f>
        <v>0</v>
      </c>
      <c r="J2" s="3">
        <f>COUNTIF(AI2:PR2,"NR")</f>
        <v>6</v>
      </c>
      <c r="K2">
        <f>SUM(L2:M2)</f>
        <v>10</v>
      </c>
      <c r="L2" s="3">
        <f>COUNTIF(CY2:GX2,"T")</f>
        <v>10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R2" t="s">
        <v>139</v>
      </c>
      <c r="EV2" t="s">
        <v>139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450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360</v>
      </c>
      <c r="F3">
        <f t="shared" ref="F3:F30" si="5">SUM(AI3,AM3,AQ3,AU3,AY3,BC3,BG3,BK3,BO3,BS3,BW3,CA3,CE3,CI3,CM3,CQ3,CU3)</f>
        <v>90</v>
      </c>
      <c r="G3">
        <f t="shared" ref="G3:G29" si="6">SUM(H3:I3)</f>
        <v>6</v>
      </c>
      <c r="H3" s="3">
        <f t="shared" ref="H3:H29" si="7">COUNTIF(AI3:PR3,"T")</f>
        <v>4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4</v>
      </c>
      <c r="T3" s="3">
        <f t="shared" ref="T3:T29" si="19">COUNTIF(IU3:PR3,"T")</f>
        <v>4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R3" t="s">
        <v>139</v>
      </c>
      <c r="EV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18</v>
      </c>
      <c r="PT3" s="3">
        <f t="shared" ref="PT3:PT29" si="34">COUNTIF(CY3:GX3,"HG")</f>
        <v>12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1335</v>
      </c>
      <c r="C4">
        <f t="shared" si="2"/>
        <v>180</v>
      </c>
      <c r="D4">
        <f t="shared" si="3"/>
        <v>630</v>
      </c>
      <c r="E4">
        <f t="shared" si="4"/>
        <v>270</v>
      </c>
      <c r="F4">
        <f t="shared" si="5"/>
        <v>255</v>
      </c>
      <c r="G4">
        <f t="shared" ref="G4" si="38">SUM(H4:I4)</f>
        <v>17</v>
      </c>
      <c r="H4" s="3">
        <f t="shared" ref="H4" si="39">COUNTIF(AI4:PR4,"T")</f>
        <v>14</v>
      </c>
      <c r="I4" s="3">
        <f t="shared" ref="I4" si="40">COUNTIF(AI4:PR4,"R")</f>
        <v>3</v>
      </c>
      <c r="J4" s="3">
        <f t="shared" ref="J4" si="41">COUNTIF(AI4:PR4,"NR")</f>
        <v>6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6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3</v>
      </c>
      <c r="T4" s="3">
        <f t="shared" si="19"/>
        <v>3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Q4">
        <v>90</v>
      </c>
      <c r="ER4" t="s">
        <v>110</v>
      </c>
      <c r="EU4">
        <v>90</v>
      </c>
      <c r="EV4" t="s">
        <v>110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4</v>
      </c>
      <c r="PT4" s="3">
        <f t="shared" ref="PT4" si="64">COUNTIF(CY4:GX4,"HG")</f>
        <v>4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1111</v>
      </c>
      <c r="C5">
        <f t="shared" si="2"/>
        <v>501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16</v>
      </c>
      <c r="H5" s="3">
        <f t="shared" si="7"/>
        <v>14</v>
      </c>
      <c r="I5" s="3">
        <f t="shared" si="8"/>
        <v>2</v>
      </c>
      <c r="J5" s="3">
        <f t="shared" si="9"/>
        <v>0</v>
      </c>
      <c r="K5">
        <f t="shared" si="10"/>
        <v>6</v>
      </c>
      <c r="L5" s="3">
        <f t="shared" si="11"/>
        <v>6</v>
      </c>
      <c r="M5" s="3">
        <f t="shared" si="12"/>
        <v>0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Q5">
        <v>90</v>
      </c>
      <c r="ER5" t="s">
        <v>110</v>
      </c>
      <c r="EU5">
        <v>90</v>
      </c>
      <c r="EV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R6" t="s">
        <v>139</v>
      </c>
      <c r="EV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18</v>
      </c>
      <c r="PT6" s="3">
        <f t="shared" si="34"/>
        <v>11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1488</v>
      </c>
      <c r="C7">
        <f t="shared" si="2"/>
        <v>643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19</v>
      </c>
      <c r="H7" s="3">
        <f t="shared" si="7"/>
        <v>18</v>
      </c>
      <c r="I7" s="3">
        <f t="shared" si="8"/>
        <v>1</v>
      </c>
      <c r="J7" s="3">
        <f t="shared" si="9"/>
        <v>0</v>
      </c>
      <c r="K7">
        <f t="shared" si="10"/>
        <v>8</v>
      </c>
      <c r="L7" s="3">
        <f t="shared" si="11"/>
        <v>8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1</v>
      </c>
      <c r="X7" s="4">
        <f t="shared" si="22"/>
        <v>1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Q7">
        <v>44</v>
      </c>
      <c r="ER7" t="s">
        <v>110</v>
      </c>
      <c r="EV7" t="s">
        <v>139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4</v>
      </c>
      <c r="PT7" s="3">
        <f t="shared" si="34"/>
        <v>4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869</v>
      </c>
      <c r="C8">
        <f t="shared" si="2"/>
        <v>0</v>
      </c>
      <c r="D8">
        <f t="shared" si="3"/>
        <v>24</v>
      </c>
      <c r="E8">
        <f t="shared" si="4"/>
        <v>630</v>
      </c>
      <c r="F8">
        <f t="shared" si="5"/>
        <v>215</v>
      </c>
      <c r="G8">
        <f t="shared" si="6"/>
        <v>15</v>
      </c>
      <c r="H8" s="3">
        <f t="shared" si="7"/>
        <v>7</v>
      </c>
      <c r="I8" s="3">
        <f t="shared" si="8"/>
        <v>8</v>
      </c>
      <c r="J8" s="3">
        <f t="shared" si="9"/>
        <v>2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1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7</v>
      </c>
      <c r="T8" s="3">
        <f t="shared" si="19"/>
        <v>7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R8" t="s">
        <v>139</v>
      </c>
      <c r="EV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PS8" s="3">
        <f t="shared" si="33"/>
        <v>15</v>
      </c>
      <c r="PT8" s="3">
        <f t="shared" si="34"/>
        <v>11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1727</v>
      </c>
      <c r="C9">
        <f t="shared" si="2"/>
        <v>971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23</v>
      </c>
      <c r="H9" s="3">
        <f t="shared" si="7"/>
        <v>20</v>
      </c>
      <c r="I9" s="3">
        <f t="shared" si="8"/>
        <v>3</v>
      </c>
      <c r="J9" s="3">
        <f t="shared" si="9"/>
        <v>0</v>
      </c>
      <c r="K9">
        <f t="shared" si="10"/>
        <v>11</v>
      </c>
      <c r="L9" s="3">
        <f t="shared" si="11"/>
        <v>11</v>
      </c>
      <c r="M9" s="3">
        <f t="shared" si="12"/>
        <v>0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R9" t="s">
        <v>139</v>
      </c>
      <c r="EU9">
        <v>85</v>
      </c>
      <c r="EV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892</v>
      </c>
      <c r="C10">
        <f t="shared" si="2"/>
        <v>292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16</v>
      </c>
      <c r="H10" s="3">
        <f t="shared" si="7"/>
        <v>8</v>
      </c>
      <c r="I10" s="3">
        <f t="shared" si="8"/>
        <v>8</v>
      </c>
      <c r="J10" s="3">
        <f t="shared" si="9"/>
        <v>3</v>
      </c>
      <c r="K10">
        <f t="shared" si="10"/>
        <v>5</v>
      </c>
      <c r="L10" s="3">
        <f t="shared" si="11"/>
        <v>3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Q10">
        <v>90</v>
      </c>
      <c r="ER10" t="s">
        <v>110</v>
      </c>
      <c r="EU10">
        <v>67</v>
      </c>
      <c r="EV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944</v>
      </c>
      <c r="C11">
        <f t="shared" si="2"/>
        <v>310</v>
      </c>
      <c r="D11">
        <f t="shared" si="3"/>
        <v>209</v>
      </c>
      <c r="E11">
        <f t="shared" si="4"/>
        <v>180</v>
      </c>
      <c r="F11">
        <f t="shared" si="5"/>
        <v>245</v>
      </c>
      <c r="G11">
        <f t="shared" si="6"/>
        <v>18</v>
      </c>
      <c r="H11" s="3">
        <f t="shared" si="7"/>
        <v>14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2</v>
      </c>
      <c r="T11" s="3">
        <f t="shared" si="19"/>
        <v>2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R11" t="s">
        <v>139</v>
      </c>
      <c r="EV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PS11" s="3">
        <f t="shared" si="33"/>
        <v>6</v>
      </c>
      <c r="PT11" s="3">
        <f t="shared" si="34"/>
        <v>4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R13" t="s">
        <v>139</v>
      </c>
      <c r="EV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17</v>
      </c>
      <c r="PT13" s="3">
        <f t="shared" si="34"/>
        <v>10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1638</v>
      </c>
      <c r="C14">
        <f t="shared" si="2"/>
        <v>810</v>
      </c>
      <c r="D14">
        <f t="shared" si="3"/>
        <v>483</v>
      </c>
      <c r="E14">
        <f t="shared" si="4"/>
        <v>0</v>
      </c>
      <c r="F14">
        <f t="shared" si="5"/>
        <v>345</v>
      </c>
      <c r="G14">
        <f t="shared" si="6"/>
        <v>25</v>
      </c>
      <c r="H14" s="3">
        <f t="shared" si="7"/>
        <v>18</v>
      </c>
      <c r="I14" s="3">
        <f t="shared" si="8"/>
        <v>7</v>
      </c>
      <c r="J14" s="3">
        <f t="shared" si="9"/>
        <v>0</v>
      </c>
      <c r="K14">
        <f t="shared" si="10"/>
        <v>11</v>
      </c>
      <c r="L14" s="3">
        <f t="shared" si="11"/>
        <v>10</v>
      </c>
      <c r="M14" s="3">
        <f t="shared" si="12"/>
        <v>1</v>
      </c>
      <c r="N14" s="3">
        <f t="shared" si="13"/>
        <v>0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0</v>
      </c>
      <c r="T14" s="3">
        <f t="shared" si="19"/>
        <v>0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Q14">
        <v>57</v>
      </c>
      <c r="ER14" t="s">
        <v>110</v>
      </c>
      <c r="EU14">
        <v>45</v>
      </c>
      <c r="EV14" t="s">
        <v>110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1163</v>
      </c>
      <c r="C15">
        <f t="shared" si="2"/>
        <v>516</v>
      </c>
      <c r="D15">
        <f t="shared" si="3"/>
        <v>197</v>
      </c>
      <c r="E15">
        <f t="shared" si="4"/>
        <v>90</v>
      </c>
      <c r="F15">
        <f t="shared" si="5"/>
        <v>360</v>
      </c>
      <c r="G15">
        <f t="shared" si="6"/>
        <v>25</v>
      </c>
      <c r="H15" s="3">
        <f t="shared" si="7"/>
        <v>14</v>
      </c>
      <c r="I15" s="3">
        <f t="shared" si="8"/>
        <v>11</v>
      </c>
      <c r="J15" s="3">
        <f t="shared" si="9"/>
        <v>0</v>
      </c>
      <c r="K15">
        <f t="shared" si="10"/>
        <v>12</v>
      </c>
      <c r="L15" s="3">
        <f t="shared" si="11"/>
        <v>5</v>
      </c>
      <c r="M15" s="3">
        <f t="shared" si="12"/>
        <v>7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1</v>
      </c>
      <c r="T15" s="3">
        <f t="shared" si="19"/>
        <v>1</v>
      </c>
      <c r="U15" s="3">
        <f t="shared" si="20"/>
        <v>0</v>
      </c>
      <c r="V15" s="3">
        <f t="shared" si="0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Q15">
        <v>10</v>
      </c>
      <c r="ER15" t="s">
        <v>136</v>
      </c>
      <c r="EU15">
        <v>5</v>
      </c>
      <c r="EV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1153</v>
      </c>
      <c r="C18">
        <f t="shared" si="2"/>
        <v>519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24</v>
      </c>
      <c r="H18" s="3">
        <f t="shared" si="7"/>
        <v>15</v>
      </c>
      <c r="I18" s="3">
        <f t="shared" si="8"/>
        <v>9</v>
      </c>
      <c r="J18" s="3">
        <f t="shared" si="9"/>
        <v>0</v>
      </c>
      <c r="K18">
        <f t="shared" si="10"/>
        <v>10</v>
      </c>
      <c r="L18" s="3">
        <f t="shared" si="11"/>
        <v>7</v>
      </c>
      <c r="M18" s="3">
        <f t="shared" si="12"/>
        <v>3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2</v>
      </c>
      <c r="X18" s="4">
        <f t="shared" si="22"/>
        <v>2</v>
      </c>
      <c r="Y18" s="4">
        <f t="shared" si="23"/>
        <v>5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Q18">
        <v>80</v>
      </c>
      <c r="ER18" t="s">
        <v>110</v>
      </c>
      <c r="EU18">
        <v>60</v>
      </c>
      <c r="EV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821</v>
      </c>
      <c r="C19">
        <f t="shared" si="2"/>
        <v>187</v>
      </c>
      <c r="D19">
        <f t="shared" si="3"/>
        <v>214</v>
      </c>
      <c r="E19">
        <f t="shared" si="4"/>
        <v>180</v>
      </c>
      <c r="F19">
        <f t="shared" si="5"/>
        <v>240</v>
      </c>
      <c r="G19">
        <f t="shared" si="6"/>
        <v>20</v>
      </c>
      <c r="H19" s="3">
        <f t="shared" si="7"/>
        <v>7</v>
      </c>
      <c r="I19" s="3">
        <f t="shared" si="8"/>
        <v>13</v>
      </c>
      <c r="J19" s="3">
        <f t="shared" si="9"/>
        <v>1</v>
      </c>
      <c r="K19">
        <f t="shared" si="10"/>
        <v>7</v>
      </c>
      <c r="L19" s="3">
        <f t="shared" si="11"/>
        <v>1</v>
      </c>
      <c r="M19" s="3">
        <f t="shared" si="12"/>
        <v>6</v>
      </c>
      <c r="N19" s="3">
        <f t="shared" si="13"/>
        <v>1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2</v>
      </c>
      <c r="T19" s="3">
        <f t="shared" si="19"/>
        <v>2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R19" t="s">
        <v>139</v>
      </c>
      <c r="EV19" t="s">
        <v>138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5</v>
      </c>
      <c r="PT19" s="3">
        <f t="shared" si="34"/>
        <v>4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1625</v>
      </c>
      <c r="C20">
        <f t="shared" si="2"/>
        <v>962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26</v>
      </c>
      <c r="H20" s="3">
        <f t="shared" si="7"/>
        <v>20</v>
      </c>
      <c r="I20" s="3">
        <f t="shared" si="8"/>
        <v>6</v>
      </c>
      <c r="J20" s="3">
        <f t="shared" si="9"/>
        <v>0</v>
      </c>
      <c r="K20">
        <f t="shared" si="10"/>
        <v>12</v>
      </c>
      <c r="L20" s="3">
        <f t="shared" si="11"/>
        <v>12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14</v>
      </c>
      <c r="X20" s="4">
        <f t="shared" si="22"/>
        <v>12</v>
      </c>
      <c r="Y20" s="4">
        <f t="shared" si="23"/>
        <v>4</v>
      </c>
      <c r="Z20" s="4">
        <f t="shared" si="24"/>
        <v>4</v>
      </c>
      <c r="AA20">
        <f t="shared" si="25"/>
        <v>5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2099</v>
      </c>
      <c r="C22">
        <f t="shared" si="2"/>
        <v>1080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26</v>
      </c>
      <c r="H22" s="3">
        <f t="shared" si="7"/>
        <v>26</v>
      </c>
      <c r="I22" s="3">
        <f t="shared" si="8"/>
        <v>0</v>
      </c>
      <c r="J22" s="3">
        <f t="shared" si="9"/>
        <v>0</v>
      </c>
      <c r="K22">
        <f t="shared" si="10"/>
        <v>12</v>
      </c>
      <c r="L22" s="3">
        <f t="shared" si="11"/>
        <v>12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Q22">
        <v>90</v>
      </c>
      <c r="ER22" t="s">
        <v>110</v>
      </c>
      <c r="EU22">
        <v>90</v>
      </c>
      <c r="EV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1682</v>
      </c>
      <c r="C24">
        <f t="shared" si="2"/>
        <v>990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22</v>
      </c>
      <c r="H24" s="3">
        <f t="shared" si="7"/>
        <v>19</v>
      </c>
      <c r="I24" s="3">
        <f t="shared" si="8"/>
        <v>3</v>
      </c>
      <c r="J24" s="3">
        <f t="shared" si="9"/>
        <v>0</v>
      </c>
      <c r="K24">
        <f t="shared" si="10"/>
        <v>11</v>
      </c>
      <c r="L24" s="3">
        <f t="shared" si="11"/>
        <v>11</v>
      </c>
      <c r="M24" s="3">
        <f t="shared" si="12"/>
        <v>0</v>
      </c>
      <c r="N24" s="3">
        <f t="shared" si="13"/>
        <v>0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Q24">
        <v>90</v>
      </c>
      <c r="ER24" t="s">
        <v>110</v>
      </c>
      <c r="EU24">
        <v>90</v>
      </c>
      <c r="EV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R25" t="s">
        <v>139</v>
      </c>
      <c r="EV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8</v>
      </c>
      <c r="PT25" s="3">
        <f t="shared" si="34"/>
        <v>6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881</v>
      </c>
      <c r="C26">
        <f t="shared" si="2"/>
        <v>44</v>
      </c>
      <c r="D26">
        <f t="shared" si="3"/>
        <v>137</v>
      </c>
      <c r="E26">
        <f t="shared" si="4"/>
        <v>430</v>
      </c>
      <c r="F26">
        <f t="shared" si="5"/>
        <v>270</v>
      </c>
      <c r="G26">
        <f t="shared" si="6"/>
        <v>19</v>
      </c>
      <c r="H26" s="3">
        <f t="shared" si="7"/>
        <v>9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5</v>
      </c>
      <c r="T26" s="3">
        <f t="shared" si="19"/>
        <v>5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R26" t="s">
        <v>139</v>
      </c>
      <c r="EV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PS26" s="3">
        <f t="shared" si="33"/>
        <v>11</v>
      </c>
      <c r="PT26" s="3">
        <f t="shared" si="34"/>
        <v>8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1124</v>
      </c>
      <c r="C27">
        <f t="shared" si="2"/>
        <v>629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13</v>
      </c>
      <c r="H27" s="3">
        <f t="shared" si="7"/>
        <v>13</v>
      </c>
      <c r="I27" s="3">
        <f t="shared" si="8"/>
        <v>0</v>
      </c>
      <c r="J27" s="3">
        <f t="shared" si="9"/>
        <v>0</v>
      </c>
      <c r="K27">
        <f t="shared" si="10"/>
        <v>7</v>
      </c>
      <c r="L27" s="3">
        <f t="shared" si="11"/>
        <v>7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Q27">
        <v>89</v>
      </c>
      <c r="ER27" t="s">
        <v>110</v>
      </c>
      <c r="EU27">
        <v>90</v>
      </c>
      <c r="EV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1209</v>
      </c>
      <c r="C28">
        <f t="shared" si="2"/>
        <v>629</v>
      </c>
      <c r="D28">
        <f t="shared" si="3"/>
        <v>400</v>
      </c>
      <c r="E28">
        <f t="shared" si="4"/>
        <v>90</v>
      </c>
      <c r="F28">
        <f t="shared" si="5"/>
        <v>90</v>
      </c>
      <c r="G28">
        <f t="shared" si="6"/>
        <v>16</v>
      </c>
      <c r="H28" s="3">
        <f t="shared" si="7"/>
        <v>14</v>
      </c>
      <c r="I28" s="3">
        <f t="shared" si="8"/>
        <v>2</v>
      </c>
      <c r="J28" s="3">
        <f t="shared" si="9"/>
        <v>0</v>
      </c>
      <c r="K28">
        <f t="shared" si="10"/>
        <v>9</v>
      </c>
      <c r="L28" s="3">
        <f t="shared" si="11"/>
        <v>7</v>
      </c>
      <c r="M28" s="3">
        <f t="shared" si="12"/>
        <v>2</v>
      </c>
      <c r="N28" s="3">
        <f t="shared" si="13"/>
        <v>0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1</v>
      </c>
      <c r="T28" s="3">
        <f t="shared" si="19"/>
        <v>1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Q28">
        <v>90</v>
      </c>
      <c r="ER28" t="s">
        <v>110</v>
      </c>
      <c r="EU28">
        <v>30</v>
      </c>
      <c r="EV28" t="s">
        <v>136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PS28" s="3">
        <f t="shared" si="33"/>
        <v>2</v>
      </c>
      <c r="PT28" s="3">
        <f t="shared" si="34"/>
        <v>0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407</v>
      </c>
      <c r="C29">
        <f t="shared" si="2"/>
        <v>167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9</v>
      </c>
      <c r="H29" s="3">
        <f t="shared" si="7"/>
        <v>4</v>
      </c>
      <c r="I29" s="3">
        <f t="shared" si="8"/>
        <v>5</v>
      </c>
      <c r="J29" s="3">
        <f t="shared" si="9"/>
        <v>2</v>
      </c>
      <c r="K29">
        <f t="shared" si="10"/>
        <v>5</v>
      </c>
      <c r="L29" s="3">
        <f t="shared" si="11"/>
        <v>2</v>
      </c>
      <c r="M29" s="3">
        <f t="shared" si="12"/>
        <v>3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1</v>
      </c>
      <c r="Z29" s="4">
        <f t="shared" si="24"/>
        <v>1</v>
      </c>
      <c r="AA29">
        <f t="shared" si="25"/>
        <v>0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R29" t="s">
        <v>138</v>
      </c>
      <c r="EU29">
        <v>23</v>
      </c>
      <c r="EV29" t="s">
        <v>136</v>
      </c>
      <c r="EX29">
        <v>1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91</v>
      </c>
      <c r="C30">
        <f t="shared" ref="C30" si="68">SUM(CY30,DC30,DG30,DK30,DO30,DS30,DW30,EA30,EE30,EI30,EM30,EQ30,EU30,EY30,FC30,FG30,FK30,FO30,FS30,FW30,GA30,GE30,GI30,GM30,GQ30,GU30)</f>
        <v>46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si="5"/>
        <v>45</v>
      </c>
      <c r="G30">
        <f t="shared" ref="G30" si="71">SUM(H30:I30)</f>
        <v>3</v>
      </c>
      <c r="H30" s="3">
        <f t="shared" ref="H30" si="72">COUNTIF(AI30:PR30,"T")</f>
        <v>0</v>
      </c>
      <c r="I30" s="3">
        <f t="shared" ref="I30" si="73">COUNTIF(AI30:PR30,"R")</f>
        <v>3</v>
      </c>
      <c r="J30" s="3">
        <f t="shared" ref="J30" si="74">COUNTIF(AI30:PR30,"NR")</f>
        <v>0</v>
      </c>
      <c r="K30">
        <f t="shared" ref="K30" si="75">SUM(L30:M30)</f>
        <v>2</v>
      </c>
      <c r="L30" s="3">
        <f t="shared" ref="L30" si="76">COUNTIF(CY30:GX30,"T")</f>
        <v>0</v>
      </c>
      <c r="M30" s="3">
        <f t="shared" ref="M30" si="77">COUNTIF(CY30:GX30,"R")</f>
        <v>2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0</v>
      </c>
      <c r="T30" s="3">
        <f t="shared" ref="T30" si="84">COUNTIF(IU30:PR30,"T")</f>
        <v>0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Q30">
        <v>1</v>
      </c>
      <c r="ER30" t="s">
        <v>136</v>
      </c>
      <c r="EU30">
        <v>45</v>
      </c>
      <c r="EV30" t="s">
        <v>136</v>
      </c>
      <c r="PS30" s="3">
        <f t="shared" ref="PS30" si="99">COUNTIF(AI30:PR30,"HG")</f>
        <v>0</v>
      </c>
      <c r="PT30" s="3">
        <f t="shared" ref="PT30" si="100">COUNTIF(CY30:GX30,"HG")</f>
        <v>0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</sheetData>
  <phoneticPr fontId="1" type="noConversion"/>
  <conditionalFormatting sqref="A22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2026-01-19T08:45:45Z</dcterms:modified>
</cp:coreProperties>
</file>