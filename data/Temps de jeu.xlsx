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"/>
    </mc:Choice>
  </mc:AlternateContent>
  <xr:revisionPtr revIDLastSave="0" documentId="13_ncr:1_{1CCF8977-04DE-9A4C-941E-02C630B8BBC9}" xr6:coauthVersionLast="47" xr6:coauthVersionMax="47" xr10:uidLastSave="{00000000-0000-0000-0000-000000000000}"/>
  <bookViews>
    <workbookView xWindow="0" yWindow="500" windowWidth="28800" windowHeight="16360" xr2:uid="{4D7058D9-FEBF-074A-9E43-9512510F26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S32" i="1" l="1"/>
  <c r="PT32" i="1"/>
  <c r="PU32" i="1"/>
  <c r="PV32" i="1"/>
  <c r="B32" i="1"/>
  <c r="C32" i="1"/>
  <c r="D32" i="1"/>
  <c r="E32" i="1"/>
  <c r="F32" i="1"/>
  <c r="H32" i="1"/>
  <c r="I32" i="1"/>
  <c r="J32" i="1"/>
  <c r="L32" i="1"/>
  <c r="M32" i="1"/>
  <c r="N32" i="1"/>
  <c r="P32" i="1"/>
  <c r="O32" i="1" s="1"/>
  <c r="Q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B31" i="1"/>
  <c r="C31" i="1"/>
  <c r="D31" i="1"/>
  <c r="E31" i="1"/>
  <c r="F31" i="1"/>
  <c r="H31" i="1"/>
  <c r="I31" i="1"/>
  <c r="J31" i="1"/>
  <c r="L31" i="1"/>
  <c r="M31" i="1"/>
  <c r="N31" i="1"/>
  <c r="P31" i="1"/>
  <c r="O31" i="1" s="1"/>
  <c r="Q31" i="1"/>
  <c r="R31" i="1"/>
  <c r="T31" i="1"/>
  <c r="S31" i="1" s="1"/>
  <c r="PS31" i="1"/>
  <c r="PT31" i="1"/>
  <c r="PU31" i="1"/>
  <c r="PV31" i="1"/>
  <c r="PS30" i="1"/>
  <c r="PT30" i="1"/>
  <c r="PU30" i="1"/>
  <c r="PV30" i="1"/>
  <c r="H30" i="1"/>
  <c r="I30" i="1"/>
  <c r="J30" i="1"/>
  <c r="L30" i="1"/>
  <c r="M30" i="1"/>
  <c r="N30" i="1"/>
  <c r="P30" i="1"/>
  <c r="O30" i="1" s="1"/>
  <c r="Q30" i="1"/>
  <c r="R30" i="1"/>
  <c r="T30" i="1"/>
  <c r="S30" i="1" s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B30" i="1"/>
  <c r="C30" i="1"/>
  <c r="D30" i="1"/>
  <c r="E3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2" i="1"/>
  <c r="F30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" i="1"/>
  <c r="B2" i="1"/>
  <c r="PV4" i="1"/>
  <c r="PU4" i="1"/>
  <c r="PT4" i="1"/>
  <c r="PS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R4" i="1"/>
  <c r="Q4" i="1"/>
  <c r="P4" i="1"/>
  <c r="N4" i="1"/>
  <c r="M4" i="1"/>
  <c r="L4" i="1"/>
  <c r="J4" i="1"/>
  <c r="I4" i="1"/>
  <c r="H4" i="1"/>
  <c r="PV3" i="1"/>
  <c r="PV5" i="1"/>
  <c r="PV6" i="1"/>
  <c r="PV7" i="1"/>
  <c r="PV8" i="1"/>
  <c r="PV9" i="1"/>
  <c r="PV10" i="1"/>
  <c r="PV11" i="1"/>
  <c r="PV12" i="1"/>
  <c r="PV13" i="1"/>
  <c r="PV14" i="1"/>
  <c r="PV15" i="1"/>
  <c r="PV16" i="1"/>
  <c r="PV17" i="1"/>
  <c r="PV18" i="1"/>
  <c r="PV19" i="1"/>
  <c r="PV20" i="1"/>
  <c r="PV21" i="1"/>
  <c r="PV22" i="1"/>
  <c r="PV23" i="1"/>
  <c r="PV24" i="1"/>
  <c r="PV25" i="1"/>
  <c r="PV26" i="1"/>
  <c r="PV27" i="1"/>
  <c r="PV28" i="1"/>
  <c r="PV29" i="1"/>
  <c r="PU3" i="1"/>
  <c r="PU5" i="1"/>
  <c r="PU6" i="1"/>
  <c r="PU7" i="1"/>
  <c r="PU8" i="1"/>
  <c r="PU9" i="1"/>
  <c r="PU10" i="1"/>
  <c r="PU11" i="1"/>
  <c r="PU12" i="1"/>
  <c r="PU13" i="1"/>
  <c r="PU14" i="1"/>
  <c r="PU15" i="1"/>
  <c r="PU16" i="1"/>
  <c r="PU17" i="1"/>
  <c r="PU18" i="1"/>
  <c r="PU19" i="1"/>
  <c r="PU20" i="1"/>
  <c r="PU21" i="1"/>
  <c r="PU22" i="1"/>
  <c r="PU23" i="1"/>
  <c r="PU24" i="1"/>
  <c r="PU25" i="1"/>
  <c r="PU26" i="1"/>
  <c r="PU27" i="1"/>
  <c r="PU28" i="1"/>
  <c r="PU29" i="1"/>
  <c r="PT3" i="1"/>
  <c r="PT5" i="1"/>
  <c r="PT6" i="1"/>
  <c r="PT7" i="1"/>
  <c r="PT8" i="1"/>
  <c r="PT9" i="1"/>
  <c r="PT10" i="1"/>
  <c r="PT11" i="1"/>
  <c r="PT12" i="1"/>
  <c r="PT13" i="1"/>
  <c r="PT14" i="1"/>
  <c r="PT15" i="1"/>
  <c r="PT16" i="1"/>
  <c r="PT17" i="1"/>
  <c r="PT18" i="1"/>
  <c r="PT19" i="1"/>
  <c r="PT20" i="1"/>
  <c r="PT21" i="1"/>
  <c r="PT22" i="1"/>
  <c r="PT23" i="1"/>
  <c r="PT24" i="1"/>
  <c r="PT25" i="1"/>
  <c r="PT26" i="1"/>
  <c r="PT27" i="1"/>
  <c r="PT28" i="1"/>
  <c r="PT29" i="1"/>
  <c r="PS3" i="1"/>
  <c r="PS5" i="1"/>
  <c r="PS6" i="1"/>
  <c r="PS7" i="1"/>
  <c r="PS8" i="1"/>
  <c r="PS9" i="1"/>
  <c r="PS10" i="1"/>
  <c r="PS11" i="1"/>
  <c r="PS12" i="1"/>
  <c r="PS13" i="1"/>
  <c r="PS14" i="1"/>
  <c r="PS15" i="1"/>
  <c r="PS16" i="1"/>
  <c r="PS17" i="1"/>
  <c r="PS18" i="1"/>
  <c r="PS19" i="1"/>
  <c r="PS20" i="1"/>
  <c r="PS21" i="1"/>
  <c r="PS22" i="1"/>
  <c r="PS23" i="1"/>
  <c r="PS24" i="1"/>
  <c r="PS25" i="1"/>
  <c r="PS26" i="1"/>
  <c r="PS27" i="1"/>
  <c r="PS28" i="1"/>
  <c r="PS29" i="1"/>
  <c r="V2" i="1"/>
  <c r="PS2" i="1"/>
  <c r="PT2" i="1"/>
  <c r="PU2" i="1"/>
  <c r="PV2" i="1"/>
  <c r="R2" i="1"/>
  <c r="N2" i="1"/>
  <c r="J2" i="1"/>
  <c r="AH3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G3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F3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E3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D3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C3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B3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A3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Z3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Y3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X3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W3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V3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S19" i="1"/>
  <c r="R3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Q3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P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N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M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L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AH2" i="1"/>
  <c r="AG2" i="1"/>
  <c r="AF2" i="1"/>
  <c r="AE2" i="1"/>
  <c r="AD2" i="1"/>
  <c r="AC2" i="1"/>
  <c r="AB2" i="1"/>
  <c r="AA2" i="1"/>
  <c r="Z2" i="1"/>
  <c r="Y2" i="1"/>
  <c r="X2" i="1"/>
  <c r="W2" i="1"/>
  <c r="P2" i="1"/>
  <c r="Q2" i="1"/>
  <c r="M2" i="1"/>
  <c r="L2" i="1"/>
  <c r="I2" i="1"/>
  <c r="H2" i="1"/>
  <c r="S32" i="1" l="1"/>
  <c r="G31" i="1"/>
  <c r="K32" i="1"/>
  <c r="S8" i="1"/>
  <c r="G32" i="1"/>
  <c r="PW32" i="1" s="1"/>
  <c r="K30" i="1"/>
  <c r="K31" i="1"/>
  <c r="PW31" i="1" s="1"/>
  <c r="G30" i="1"/>
  <c r="PW30" i="1" s="1"/>
  <c r="O18" i="1"/>
  <c r="G29" i="1"/>
  <c r="K27" i="1"/>
  <c r="K25" i="1"/>
  <c r="O10" i="1"/>
  <c r="K28" i="1"/>
  <c r="O13" i="1"/>
  <c r="O27" i="1"/>
  <c r="G27" i="1"/>
  <c r="O21" i="1"/>
  <c r="O12" i="1"/>
  <c r="O5" i="1"/>
  <c r="O20" i="1"/>
  <c r="O4" i="1"/>
  <c r="S5" i="1"/>
  <c r="S20" i="1"/>
  <c r="S12" i="1"/>
  <c r="S9" i="1"/>
  <c r="S7" i="1"/>
  <c r="S11" i="1"/>
  <c r="S15" i="1"/>
  <c r="S6" i="1"/>
  <c r="G3" i="1"/>
  <c r="G28" i="1"/>
  <c r="O25" i="1"/>
  <c r="O28" i="1"/>
  <c r="O26" i="1"/>
  <c r="O19" i="1"/>
  <c r="O11" i="1"/>
  <c r="O3" i="1"/>
  <c r="K21" i="1"/>
  <c r="K18" i="1"/>
  <c r="K3" i="1"/>
  <c r="K26" i="1"/>
  <c r="K19" i="1"/>
  <c r="K13" i="1"/>
  <c r="K11" i="1"/>
  <c r="K5" i="1"/>
  <c r="K12" i="1"/>
  <c r="K10" i="1"/>
  <c r="K20" i="1"/>
  <c r="G12" i="1"/>
  <c r="G20" i="1"/>
  <c r="K4" i="1"/>
  <c r="S3" i="1"/>
  <c r="S13" i="1"/>
  <c r="G14" i="1"/>
  <c r="S18" i="1"/>
  <c r="G21" i="1"/>
  <c r="G13" i="1"/>
  <c r="G5" i="1"/>
  <c r="S25" i="1"/>
  <c r="G4" i="1"/>
  <c r="S4" i="1"/>
  <c r="S16" i="1"/>
  <c r="G19" i="1"/>
  <c r="S23" i="1"/>
  <c r="S24" i="1"/>
  <c r="S17" i="1"/>
  <c r="S10" i="1"/>
  <c r="S14" i="1"/>
  <c r="S21" i="1"/>
  <c r="G11" i="1"/>
  <c r="G25" i="1"/>
  <c r="G26" i="1"/>
  <c r="G18" i="1"/>
  <c r="G10" i="1"/>
  <c r="G22" i="1"/>
  <c r="S29" i="1"/>
  <c r="S22" i="1"/>
  <c r="S27" i="1"/>
  <c r="S28" i="1"/>
  <c r="S26" i="1"/>
  <c r="O29" i="1"/>
  <c r="O22" i="1"/>
  <c r="O14" i="1"/>
  <c r="O6" i="1"/>
  <c r="O24" i="1"/>
  <c r="O17" i="1"/>
  <c r="O9" i="1"/>
  <c r="O23" i="1"/>
  <c r="O16" i="1"/>
  <c r="O8" i="1"/>
  <c r="O15" i="1"/>
  <c r="O7" i="1"/>
  <c r="K29" i="1"/>
  <c r="K22" i="1"/>
  <c r="K14" i="1"/>
  <c r="K6" i="1"/>
  <c r="K24" i="1"/>
  <c r="K17" i="1"/>
  <c r="K9" i="1"/>
  <c r="K23" i="1"/>
  <c r="K16" i="1"/>
  <c r="K8" i="1"/>
  <c r="K15" i="1"/>
  <c r="K7" i="1"/>
  <c r="G24" i="1"/>
  <c r="G23" i="1"/>
  <c r="G16" i="1"/>
  <c r="G15" i="1"/>
  <c r="G7" i="1"/>
  <c r="G6" i="1"/>
  <c r="G17" i="1"/>
  <c r="G9" i="1"/>
  <c r="G8" i="1"/>
  <c r="S2" i="1"/>
  <c r="O2" i="1"/>
  <c r="K2" i="1"/>
  <c r="G2" i="1"/>
  <c r="F2" i="1"/>
  <c r="E2" i="1"/>
  <c r="D2" i="1"/>
  <c r="C2" i="1"/>
  <c r="PW27" i="1" l="1"/>
  <c r="PW12" i="1"/>
  <c r="PW28" i="1"/>
  <c r="PW3" i="1"/>
  <c r="PW5" i="1"/>
  <c r="PW11" i="1"/>
  <c r="PW6" i="1"/>
  <c r="PW19" i="1"/>
  <c r="PW20" i="1"/>
  <c r="PW7" i="1"/>
  <c r="PW9" i="1"/>
  <c r="PW8" i="1"/>
  <c r="PW26" i="1"/>
  <c r="PW21" i="1"/>
  <c r="PW13" i="1"/>
  <c r="PW10" i="1"/>
  <c r="PW18" i="1"/>
  <c r="PW15" i="1"/>
  <c r="PW4" i="1"/>
  <c r="PW23" i="1"/>
  <c r="PW22" i="1"/>
  <c r="PW25" i="1"/>
  <c r="PW14" i="1"/>
  <c r="PW17" i="1"/>
  <c r="PW16" i="1"/>
  <c r="PW29" i="1"/>
  <c r="PW24" i="1"/>
  <c r="PW2" i="1"/>
</calcChain>
</file>

<file path=xl/sharedStrings.xml><?xml version="1.0" encoding="utf-8"?>
<sst xmlns="http://schemas.openxmlformats.org/spreadsheetml/2006/main" count="1497" uniqueCount="152">
  <si>
    <t xml:space="preserve">Match Amical 2 </t>
  </si>
  <si>
    <t xml:space="preserve">Match Amical 1 </t>
  </si>
  <si>
    <t>Match Amical 3</t>
  </si>
  <si>
    <t>Match Amical 4</t>
  </si>
  <si>
    <t>Match Amical 5</t>
  </si>
  <si>
    <t>Match Amical 6</t>
  </si>
  <si>
    <t>Match Amical 7</t>
  </si>
  <si>
    <t>N3J1</t>
  </si>
  <si>
    <t>N3J2</t>
  </si>
  <si>
    <t>N3J3</t>
  </si>
  <si>
    <t>N3J4</t>
  </si>
  <si>
    <t>N3J5</t>
  </si>
  <si>
    <t>N3J6</t>
  </si>
  <si>
    <t>N3J7</t>
  </si>
  <si>
    <t>N3J8</t>
  </si>
  <si>
    <t>N3J9</t>
  </si>
  <si>
    <t>N3J10</t>
  </si>
  <si>
    <t>N3J11</t>
  </si>
  <si>
    <t>N3J12</t>
  </si>
  <si>
    <t>N3J13</t>
  </si>
  <si>
    <t>N3J14</t>
  </si>
  <si>
    <t>N3J15</t>
  </si>
  <si>
    <t>N3J16</t>
  </si>
  <si>
    <t>N3J17</t>
  </si>
  <si>
    <t>N3J18</t>
  </si>
  <si>
    <t>N3J19</t>
  </si>
  <si>
    <t>N3J20</t>
  </si>
  <si>
    <t>N3J21</t>
  </si>
  <si>
    <t>N3J22</t>
  </si>
  <si>
    <t>N3J23</t>
  </si>
  <si>
    <t>N3J24</t>
  </si>
  <si>
    <t>N3J25</t>
  </si>
  <si>
    <t>N3J26</t>
  </si>
  <si>
    <t>CDF</t>
  </si>
  <si>
    <t>Nom du joueur</t>
  </si>
  <si>
    <t>Match Amical 8</t>
  </si>
  <si>
    <t>Match Amical 9</t>
  </si>
  <si>
    <t>Match Amical 10</t>
  </si>
  <si>
    <t>Match Amical 11</t>
  </si>
  <si>
    <t>Match Amical 12</t>
  </si>
  <si>
    <t>Match Amical 13</t>
  </si>
  <si>
    <t>Match Amical 14</t>
  </si>
  <si>
    <t>Match Amical 15</t>
  </si>
  <si>
    <t>Match Amical 16</t>
  </si>
  <si>
    <t>Match Amical 17</t>
  </si>
  <si>
    <t>R2J1</t>
  </si>
  <si>
    <t>R2J2</t>
  </si>
  <si>
    <t>R2J3</t>
  </si>
  <si>
    <t>R2J4</t>
  </si>
  <si>
    <t>R2J5</t>
  </si>
  <si>
    <t>R2J6</t>
  </si>
  <si>
    <t>R2J7</t>
  </si>
  <si>
    <t>R2J8</t>
  </si>
  <si>
    <t>R2J9</t>
  </si>
  <si>
    <t>R2J10</t>
  </si>
  <si>
    <t>R2J11</t>
  </si>
  <si>
    <t>R2J12</t>
  </si>
  <si>
    <t>R2J13</t>
  </si>
  <si>
    <t>R2J14</t>
  </si>
  <si>
    <t>R2J15</t>
  </si>
  <si>
    <t>R2J16</t>
  </si>
  <si>
    <t>R2J17</t>
  </si>
  <si>
    <t>R2J18</t>
  </si>
  <si>
    <t>R2J19</t>
  </si>
  <si>
    <t>R2J20</t>
  </si>
  <si>
    <t>R2J21</t>
  </si>
  <si>
    <t>R2J22</t>
  </si>
  <si>
    <t>Coupe du Rhône</t>
  </si>
  <si>
    <t>Coupe LAURA</t>
  </si>
  <si>
    <t>Buts Total</t>
  </si>
  <si>
    <t>Buts N3</t>
  </si>
  <si>
    <t>Passe D</t>
  </si>
  <si>
    <t>Buts CDF</t>
  </si>
  <si>
    <t>Nombre de matchs Total</t>
  </si>
  <si>
    <t>Nombre de Titularisation Totale</t>
  </si>
  <si>
    <t>Entrée en jeu Total</t>
  </si>
  <si>
    <t>Temps de jeu Total (min)</t>
  </si>
  <si>
    <t>Temps de jeu Réserve (min)</t>
  </si>
  <si>
    <t>Nombre matchs N3</t>
  </si>
  <si>
    <t>Nombre de Titularisation N3</t>
  </si>
  <si>
    <t>Entrée en jeu N3</t>
  </si>
  <si>
    <t>Nombre matchs CDF</t>
  </si>
  <si>
    <t>Nombre de Titularisation CDF</t>
  </si>
  <si>
    <t>Entrée en jeu CDF</t>
  </si>
  <si>
    <t>Temps de jeu N3 (min)</t>
  </si>
  <si>
    <t>Temps de jeu CDF (min)</t>
  </si>
  <si>
    <t>Temps de jeu Matchs Amicaux (min)</t>
  </si>
  <si>
    <t>Nombre matchs Réserve</t>
  </si>
  <si>
    <t>Nombre de Titularisation Réserve</t>
  </si>
  <si>
    <t>Entrée en jeu Réserve</t>
  </si>
  <si>
    <t>Buts Matchs Amicaux</t>
  </si>
  <si>
    <t>Passes D Matchs Amicaux</t>
  </si>
  <si>
    <t>T/R</t>
  </si>
  <si>
    <t>But</t>
  </si>
  <si>
    <t>Non entrée en jeu totale</t>
  </si>
  <si>
    <t>Non entrée en jeu N3</t>
  </si>
  <si>
    <t>Non entrée en jeu CDF</t>
  </si>
  <si>
    <t>Non entrée en jeu Réserve</t>
  </si>
  <si>
    <t>Passes D Total</t>
  </si>
  <si>
    <t>Buts Réserve</t>
  </si>
  <si>
    <t>Passes D Réserve</t>
  </si>
  <si>
    <t>Passes D CDF</t>
  </si>
  <si>
    <t>Passes D N3</t>
  </si>
  <si>
    <t>Passes D Ttes compét confondues</t>
  </si>
  <si>
    <t>Buts Ttes compét confondues</t>
  </si>
  <si>
    <t>Hors groupe Total</t>
  </si>
  <si>
    <t>Hors groupe N3</t>
  </si>
  <si>
    <t>Hors groupe CDF</t>
  </si>
  <si>
    <t>Hors groupe Réserve</t>
  </si>
  <si>
    <t>Nombre matchs amicaux</t>
  </si>
  <si>
    <t>T</t>
  </si>
  <si>
    <t>Alban Rambaud</t>
  </si>
  <si>
    <t>Jassim Assoul</t>
  </si>
  <si>
    <t>Enzo Vita</t>
  </si>
  <si>
    <t>Romain Thunet</t>
  </si>
  <si>
    <t>Amine Taiar</t>
  </si>
  <si>
    <t>Naim Ighbane</t>
  </si>
  <si>
    <t>Hedi Nasri</t>
  </si>
  <si>
    <t>Mattheo Haon</t>
  </si>
  <si>
    <t>Maé Clavel</t>
  </si>
  <si>
    <t>Levy Ndoutoume</t>
  </si>
  <si>
    <t>Yanis Berrached</t>
  </si>
  <si>
    <t>Rayane Chayebi</t>
  </si>
  <si>
    <t>Ilan Ihaddadene</t>
  </si>
  <si>
    <t>Karahali Souaré</t>
  </si>
  <si>
    <t>Amir Etien</t>
  </si>
  <si>
    <t>Karim Belmahi</t>
  </si>
  <si>
    <t>Emmanuel Valey</t>
  </si>
  <si>
    <t>Jeremie Laurent</t>
  </si>
  <si>
    <t>Sofiane Belle</t>
  </si>
  <si>
    <t>Amir Kherrab</t>
  </si>
  <si>
    <t>Naim Dhib</t>
  </si>
  <si>
    <t>Wael Fareh</t>
  </si>
  <si>
    <t>Yoan Zouma</t>
  </si>
  <si>
    <t>Yoann Martelat</t>
  </si>
  <si>
    <t>Omar Benyounes</t>
  </si>
  <si>
    <t>R</t>
  </si>
  <si>
    <t>Ilyes Boughanmi</t>
  </si>
  <si>
    <t>NR</t>
  </si>
  <si>
    <t>HG</t>
  </si>
  <si>
    <t>CDF T3</t>
  </si>
  <si>
    <t>Malik Boussaid</t>
  </si>
  <si>
    <t>Kamal Bafounta</t>
  </si>
  <si>
    <t>CDF T4</t>
  </si>
  <si>
    <t>CDF T5</t>
  </si>
  <si>
    <t>CDF T6</t>
  </si>
  <si>
    <t>CDF T7</t>
  </si>
  <si>
    <t>CDF T8</t>
  </si>
  <si>
    <t>CDF 32ème</t>
  </si>
  <si>
    <t>Theo Owono</t>
  </si>
  <si>
    <t>Nathanael Beta</t>
  </si>
  <si>
    <t xml:space="preserve">Mehdi Boussaid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</si>
</sst>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/>
    <xf numFmtId="0" fontId="0" fillId="0" borderId="0" xfId="0" quotePrefix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7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7B87-FE0E-FC4A-8FE6-DAAF2AFECC8B}">
  <dimension ref="A1:PW32"/>
  <sheetViews>
    <sheetView tabSelected="1" workbookViewId="0">
      <pane xSplit="1" topLeftCell="GP1" activePane="topRight" state="frozen"/>
      <selection pane="topRight" activeCell="GW27" sqref="GW27"/>
    </sheetView>
  </sheetViews>
  <sheetFormatPr baseColWidth="10" defaultRowHeight="16" x14ac:dyDescent="0.2"/>
  <cols>
    <col min="1" max="1" width="17.1640625" customWidth="1"/>
    <col min="2" max="2" width="15.6640625" customWidth="1"/>
  </cols>
  <sheetData>
    <row r="1" spans="1:439" ht="80" customHeight="1" x14ac:dyDescent="0.2">
      <c r="A1" s="1" t="s">
        <v>34</v>
      </c>
      <c r="B1" s="1" t="s">
        <v>76</v>
      </c>
      <c r="C1" s="1" t="s">
        <v>84</v>
      </c>
      <c r="D1" s="1" t="s">
        <v>85</v>
      </c>
      <c r="E1" s="1" t="s">
        <v>77</v>
      </c>
      <c r="F1" s="1" t="s">
        <v>86</v>
      </c>
      <c r="G1" s="1" t="s">
        <v>73</v>
      </c>
      <c r="H1" s="1" t="s">
        <v>74</v>
      </c>
      <c r="I1" s="1" t="s">
        <v>75</v>
      </c>
      <c r="J1" s="1" t="s">
        <v>94</v>
      </c>
      <c r="K1" s="1" t="s">
        <v>78</v>
      </c>
      <c r="L1" s="1" t="s">
        <v>79</v>
      </c>
      <c r="M1" s="1" t="s">
        <v>80</v>
      </c>
      <c r="N1" s="1" t="s">
        <v>95</v>
      </c>
      <c r="O1" s="1" t="s">
        <v>81</v>
      </c>
      <c r="P1" s="1" t="s">
        <v>82</v>
      </c>
      <c r="Q1" s="1" t="s">
        <v>83</v>
      </c>
      <c r="R1" s="1" t="s">
        <v>96</v>
      </c>
      <c r="S1" s="1" t="s">
        <v>87</v>
      </c>
      <c r="T1" s="1" t="s">
        <v>88</v>
      </c>
      <c r="U1" s="1" t="s">
        <v>89</v>
      </c>
      <c r="V1" s="1" t="s">
        <v>97</v>
      </c>
      <c r="W1" s="1" t="s">
        <v>69</v>
      </c>
      <c r="X1" s="1" t="s">
        <v>104</v>
      </c>
      <c r="Y1" s="1" t="s">
        <v>98</v>
      </c>
      <c r="Z1" s="1" t="s">
        <v>103</v>
      </c>
      <c r="AA1" s="1" t="s">
        <v>70</v>
      </c>
      <c r="AB1" s="1" t="s">
        <v>102</v>
      </c>
      <c r="AC1" s="1" t="s">
        <v>72</v>
      </c>
      <c r="AD1" s="1" t="s">
        <v>101</v>
      </c>
      <c r="AE1" s="1" t="s">
        <v>90</v>
      </c>
      <c r="AF1" s="1" t="s">
        <v>91</v>
      </c>
      <c r="AG1" s="1" t="s">
        <v>99</v>
      </c>
      <c r="AH1" s="1" t="s">
        <v>100</v>
      </c>
      <c r="AI1" s="1" t="s">
        <v>1</v>
      </c>
      <c r="AJ1" s="1" t="s">
        <v>92</v>
      </c>
      <c r="AK1" s="1" t="s">
        <v>93</v>
      </c>
      <c r="AL1" s="1" t="s">
        <v>71</v>
      </c>
      <c r="AM1" s="1" t="s">
        <v>0</v>
      </c>
      <c r="AN1" s="1" t="s">
        <v>92</v>
      </c>
      <c r="AO1" s="1" t="s">
        <v>93</v>
      </c>
      <c r="AP1" s="1" t="s">
        <v>71</v>
      </c>
      <c r="AQ1" s="1" t="s">
        <v>2</v>
      </c>
      <c r="AR1" s="1" t="s">
        <v>92</v>
      </c>
      <c r="AS1" s="1" t="s">
        <v>93</v>
      </c>
      <c r="AT1" s="1" t="s">
        <v>71</v>
      </c>
      <c r="AU1" s="1" t="s">
        <v>3</v>
      </c>
      <c r="AV1" s="1" t="s">
        <v>92</v>
      </c>
      <c r="AW1" s="1" t="s">
        <v>93</v>
      </c>
      <c r="AX1" s="1" t="s">
        <v>71</v>
      </c>
      <c r="AY1" s="1" t="s">
        <v>4</v>
      </c>
      <c r="AZ1" s="1" t="s">
        <v>92</v>
      </c>
      <c r="BA1" s="1" t="s">
        <v>93</v>
      </c>
      <c r="BB1" s="1" t="s">
        <v>71</v>
      </c>
      <c r="BC1" s="1" t="s">
        <v>5</v>
      </c>
      <c r="BD1" s="1" t="s">
        <v>92</v>
      </c>
      <c r="BE1" s="1" t="s">
        <v>93</v>
      </c>
      <c r="BF1" s="1" t="s">
        <v>71</v>
      </c>
      <c r="BG1" s="1" t="s">
        <v>6</v>
      </c>
      <c r="BH1" s="1" t="s">
        <v>92</v>
      </c>
      <c r="BI1" s="1" t="s">
        <v>93</v>
      </c>
      <c r="BJ1" s="1" t="s">
        <v>71</v>
      </c>
      <c r="BK1" s="1" t="s">
        <v>35</v>
      </c>
      <c r="BL1" s="1" t="s">
        <v>92</v>
      </c>
      <c r="BM1" s="1" t="s">
        <v>93</v>
      </c>
      <c r="BN1" s="1" t="s">
        <v>71</v>
      </c>
      <c r="BO1" s="1" t="s">
        <v>36</v>
      </c>
      <c r="BP1" s="1" t="s">
        <v>92</v>
      </c>
      <c r="BQ1" s="1" t="s">
        <v>93</v>
      </c>
      <c r="BR1" s="1" t="s">
        <v>71</v>
      </c>
      <c r="BS1" s="1" t="s">
        <v>37</v>
      </c>
      <c r="BT1" s="1" t="s">
        <v>92</v>
      </c>
      <c r="BU1" s="1" t="s">
        <v>93</v>
      </c>
      <c r="BV1" s="1" t="s">
        <v>71</v>
      </c>
      <c r="BW1" s="1" t="s">
        <v>38</v>
      </c>
      <c r="BX1" s="1" t="s">
        <v>92</v>
      </c>
      <c r="BY1" s="1" t="s">
        <v>93</v>
      </c>
      <c r="BZ1" s="1" t="s">
        <v>71</v>
      </c>
      <c r="CA1" s="1" t="s">
        <v>39</v>
      </c>
      <c r="CB1" s="1" t="s">
        <v>92</v>
      </c>
      <c r="CC1" s="1" t="s">
        <v>93</v>
      </c>
      <c r="CD1" s="1" t="s">
        <v>71</v>
      </c>
      <c r="CE1" s="1" t="s">
        <v>40</v>
      </c>
      <c r="CF1" s="1" t="s">
        <v>92</v>
      </c>
      <c r="CG1" s="1" t="s">
        <v>93</v>
      </c>
      <c r="CH1" s="1" t="s">
        <v>71</v>
      </c>
      <c r="CI1" s="1" t="s">
        <v>41</v>
      </c>
      <c r="CJ1" s="1" t="s">
        <v>92</v>
      </c>
      <c r="CK1" s="1" t="s">
        <v>93</v>
      </c>
      <c r="CL1" s="1" t="s">
        <v>71</v>
      </c>
      <c r="CM1" s="1" t="s">
        <v>42</v>
      </c>
      <c r="CN1" s="1" t="s">
        <v>92</v>
      </c>
      <c r="CO1" s="1" t="s">
        <v>93</v>
      </c>
      <c r="CP1" s="1" t="s">
        <v>71</v>
      </c>
      <c r="CQ1" s="1" t="s">
        <v>43</v>
      </c>
      <c r="CR1" s="1" t="s">
        <v>92</v>
      </c>
      <c r="CS1" s="1" t="s">
        <v>93</v>
      </c>
      <c r="CT1" s="1" t="s">
        <v>71</v>
      </c>
      <c r="CU1" s="1" t="s">
        <v>44</v>
      </c>
      <c r="CV1" s="1" t="s">
        <v>92</v>
      </c>
      <c r="CW1" s="1" t="s">
        <v>93</v>
      </c>
      <c r="CX1" s="1" t="s">
        <v>71</v>
      </c>
      <c r="CY1" s="1" t="s">
        <v>7</v>
      </c>
      <c r="CZ1" s="1" t="s">
        <v>92</v>
      </c>
      <c r="DA1" s="1" t="s">
        <v>93</v>
      </c>
      <c r="DB1" s="1" t="s">
        <v>71</v>
      </c>
      <c r="DC1" s="1" t="s">
        <v>8</v>
      </c>
      <c r="DD1" s="1" t="s">
        <v>92</v>
      </c>
      <c r="DE1" s="1" t="s">
        <v>93</v>
      </c>
      <c r="DF1" s="1" t="s">
        <v>71</v>
      </c>
      <c r="DG1" s="1" t="s">
        <v>9</v>
      </c>
      <c r="DH1" s="1" t="s">
        <v>92</v>
      </c>
      <c r="DI1" s="1" t="s">
        <v>93</v>
      </c>
      <c r="DJ1" s="1" t="s">
        <v>71</v>
      </c>
      <c r="DK1" s="1" t="s">
        <v>10</v>
      </c>
      <c r="DL1" s="1" t="s">
        <v>92</v>
      </c>
      <c r="DM1" s="1" t="s">
        <v>93</v>
      </c>
      <c r="DN1" s="1" t="s">
        <v>71</v>
      </c>
      <c r="DO1" s="1" t="s">
        <v>11</v>
      </c>
      <c r="DP1" s="1" t="s">
        <v>92</v>
      </c>
      <c r="DQ1" s="1" t="s">
        <v>93</v>
      </c>
      <c r="DR1" s="1" t="s">
        <v>71</v>
      </c>
      <c r="DS1" s="1" t="s">
        <v>12</v>
      </c>
      <c r="DT1" s="1" t="s">
        <v>92</v>
      </c>
      <c r="DU1" s="1" t="s">
        <v>93</v>
      </c>
      <c r="DV1" s="1" t="s">
        <v>71</v>
      </c>
      <c r="DW1" s="1" t="s">
        <v>13</v>
      </c>
      <c r="DX1" s="1" t="s">
        <v>92</v>
      </c>
      <c r="DY1" s="1" t="s">
        <v>93</v>
      </c>
      <c r="DZ1" s="1" t="s">
        <v>71</v>
      </c>
      <c r="EA1" s="1" t="s">
        <v>14</v>
      </c>
      <c r="EB1" s="1" t="s">
        <v>92</v>
      </c>
      <c r="EC1" s="1" t="s">
        <v>93</v>
      </c>
      <c r="ED1" s="1" t="s">
        <v>71</v>
      </c>
      <c r="EE1" s="1" t="s">
        <v>15</v>
      </c>
      <c r="EF1" s="1" t="s">
        <v>92</v>
      </c>
      <c r="EG1" s="1" t="s">
        <v>93</v>
      </c>
      <c r="EH1" s="1" t="s">
        <v>71</v>
      </c>
      <c r="EI1" s="1" t="s">
        <v>16</v>
      </c>
      <c r="EJ1" s="1" t="s">
        <v>92</v>
      </c>
      <c r="EK1" s="1" t="s">
        <v>93</v>
      </c>
      <c r="EL1" s="1" t="s">
        <v>71</v>
      </c>
      <c r="EM1" s="1" t="s">
        <v>17</v>
      </c>
      <c r="EN1" s="1" t="s">
        <v>92</v>
      </c>
      <c r="EO1" s="1" t="s">
        <v>93</v>
      </c>
      <c r="EP1" s="1" t="s">
        <v>71</v>
      </c>
      <c r="EQ1" s="1" t="s">
        <v>18</v>
      </c>
      <c r="ER1" s="1" t="s">
        <v>92</v>
      </c>
      <c r="ES1" s="1" t="s">
        <v>93</v>
      </c>
      <c r="ET1" s="1" t="s">
        <v>71</v>
      </c>
      <c r="EU1" s="1" t="s">
        <v>19</v>
      </c>
      <c r="EV1" s="1" t="s">
        <v>92</v>
      </c>
      <c r="EW1" s="1" t="s">
        <v>93</v>
      </c>
      <c r="EX1" s="1" t="s">
        <v>71</v>
      </c>
      <c r="EY1" s="1" t="s">
        <v>20</v>
      </c>
      <c r="EZ1" s="1" t="s">
        <v>92</v>
      </c>
      <c r="FA1" s="1" t="s">
        <v>93</v>
      </c>
      <c r="FB1" s="1" t="s">
        <v>71</v>
      </c>
      <c r="FC1" s="1" t="s">
        <v>21</v>
      </c>
      <c r="FD1" s="1" t="s">
        <v>92</v>
      </c>
      <c r="FE1" s="1" t="s">
        <v>93</v>
      </c>
      <c r="FF1" s="1" t="s">
        <v>71</v>
      </c>
      <c r="FG1" s="1" t="s">
        <v>22</v>
      </c>
      <c r="FH1" s="1" t="s">
        <v>92</v>
      </c>
      <c r="FI1" s="1" t="s">
        <v>93</v>
      </c>
      <c r="FJ1" s="1" t="s">
        <v>71</v>
      </c>
      <c r="FK1" s="1" t="s">
        <v>23</v>
      </c>
      <c r="FL1" s="1" t="s">
        <v>92</v>
      </c>
      <c r="FM1" s="1" t="s">
        <v>93</v>
      </c>
      <c r="FN1" s="1" t="s">
        <v>71</v>
      </c>
      <c r="FO1" s="1" t="s">
        <v>24</v>
      </c>
      <c r="FP1" s="1" t="s">
        <v>92</v>
      </c>
      <c r="FQ1" s="1" t="s">
        <v>93</v>
      </c>
      <c r="FR1" s="1" t="s">
        <v>71</v>
      </c>
      <c r="FS1" s="1" t="s">
        <v>25</v>
      </c>
      <c r="FT1" s="1" t="s">
        <v>92</v>
      </c>
      <c r="FU1" s="1" t="s">
        <v>93</v>
      </c>
      <c r="FV1" s="1" t="s">
        <v>71</v>
      </c>
      <c r="FW1" s="1" t="s">
        <v>26</v>
      </c>
      <c r="FX1" s="1" t="s">
        <v>92</v>
      </c>
      <c r="FY1" s="1" t="s">
        <v>93</v>
      </c>
      <c r="FZ1" s="1" t="s">
        <v>71</v>
      </c>
      <c r="GA1" s="1" t="s">
        <v>27</v>
      </c>
      <c r="GB1" s="1" t="s">
        <v>92</v>
      </c>
      <c r="GC1" s="1" t="s">
        <v>93</v>
      </c>
      <c r="GD1" s="1" t="s">
        <v>71</v>
      </c>
      <c r="GE1" s="1" t="s">
        <v>28</v>
      </c>
      <c r="GF1" s="1" t="s">
        <v>92</v>
      </c>
      <c r="GG1" s="1" t="s">
        <v>93</v>
      </c>
      <c r="GH1" s="1" t="s">
        <v>71</v>
      </c>
      <c r="GI1" s="1" t="s">
        <v>29</v>
      </c>
      <c r="GJ1" s="1" t="s">
        <v>92</v>
      </c>
      <c r="GK1" s="1" t="s">
        <v>93</v>
      </c>
      <c r="GL1" s="1" t="s">
        <v>71</v>
      </c>
      <c r="GM1" s="1" t="s">
        <v>30</v>
      </c>
      <c r="GN1" s="1" t="s">
        <v>92</v>
      </c>
      <c r="GO1" s="1" t="s">
        <v>93</v>
      </c>
      <c r="GP1" s="1" t="s">
        <v>71</v>
      </c>
      <c r="GQ1" s="1" t="s">
        <v>31</v>
      </c>
      <c r="GR1" s="1" t="s">
        <v>92</v>
      </c>
      <c r="GS1" s="1" t="s">
        <v>93</v>
      </c>
      <c r="GT1" s="1" t="s">
        <v>71</v>
      </c>
      <c r="GU1" s="1" t="s">
        <v>32</v>
      </c>
      <c r="GV1" s="1" t="s">
        <v>92</v>
      </c>
      <c r="GW1" s="1" t="s">
        <v>93</v>
      </c>
      <c r="GX1" s="1" t="s">
        <v>71</v>
      </c>
      <c r="GY1" s="1" t="s">
        <v>140</v>
      </c>
      <c r="GZ1" s="1" t="s">
        <v>92</v>
      </c>
      <c r="HA1" s="1" t="s">
        <v>93</v>
      </c>
      <c r="HB1" s="1" t="s">
        <v>71</v>
      </c>
      <c r="HC1" s="1" t="s">
        <v>143</v>
      </c>
      <c r="HD1" s="1" t="s">
        <v>92</v>
      </c>
      <c r="HE1" s="1" t="s">
        <v>93</v>
      </c>
      <c r="HF1" s="1" t="s">
        <v>71</v>
      </c>
      <c r="HG1" s="1" t="s">
        <v>144</v>
      </c>
      <c r="HH1" s="1" t="s">
        <v>92</v>
      </c>
      <c r="HI1" s="1" t="s">
        <v>93</v>
      </c>
      <c r="HJ1" s="1" t="s">
        <v>71</v>
      </c>
      <c r="HK1" s="1" t="s">
        <v>145</v>
      </c>
      <c r="HL1" s="1" t="s">
        <v>92</v>
      </c>
      <c r="HM1" s="1" t="s">
        <v>93</v>
      </c>
      <c r="HN1" s="1" t="s">
        <v>71</v>
      </c>
      <c r="HO1" s="1" t="s">
        <v>146</v>
      </c>
      <c r="HP1" s="1" t="s">
        <v>92</v>
      </c>
      <c r="HQ1" s="1" t="s">
        <v>93</v>
      </c>
      <c r="HR1" s="1" t="s">
        <v>71</v>
      </c>
      <c r="HS1" s="1" t="s">
        <v>147</v>
      </c>
      <c r="HT1" s="1" t="s">
        <v>92</v>
      </c>
      <c r="HU1" s="1" t="s">
        <v>93</v>
      </c>
      <c r="HV1" s="1" t="s">
        <v>71</v>
      </c>
      <c r="HW1" s="1" t="s">
        <v>148</v>
      </c>
      <c r="HX1" s="1" t="s">
        <v>92</v>
      </c>
      <c r="HY1" s="1" t="s">
        <v>93</v>
      </c>
      <c r="HZ1" s="1" t="s">
        <v>71</v>
      </c>
      <c r="IA1" s="1" t="s">
        <v>33</v>
      </c>
      <c r="IB1" s="1" t="s">
        <v>92</v>
      </c>
      <c r="IC1" s="1" t="s">
        <v>93</v>
      </c>
      <c r="ID1" s="1" t="s">
        <v>71</v>
      </c>
      <c r="IE1" s="1" t="s">
        <v>33</v>
      </c>
      <c r="IF1" s="1" t="s">
        <v>92</v>
      </c>
      <c r="IG1" s="1" t="s">
        <v>93</v>
      </c>
      <c r="IH1" s="1" t="s">
        <v>71</v>
      </c>
      <c r="II1" s="1" t="s">
        <v>33</v>
      </c>
      <c r="IJ1" s="1" t="s">
        <v>92</v>
      </c>
      <c r="IK1" s="1" t="s">
        <v>93</v>
      </c>
      <c r="IL1" s="1" t="s">
        <v>71</v>
      </c>
      <c r="IM1" s="1" t="s">
        <v>33</v>
      </c>
      <c r="IN1" s="1" t="s">
        <v>92</v>
      </c>
      <c r="IO1" s="1" t="s">
        <v>93</v>
      </c>
      <c r="IP1" s="1" t="s">
        <v>71</v>
      </c>
      <c r="IQ1" s="1" t="s">
        <v>33</v>
      </c>
      <c r="IR1" s="1" t="s">
        <v>92</v>
      </c>
      <c r="IS1" s="1" t="s">
        <v>93</v>
      </c>
      <c r="IT1" s="1" t="s">
        <v>71</v>
      </c>
      <c r="IU1" s="2" t="s">
        <v>45</v>
      </c>
      <c r="IV1" s="1" t="s">
        <v>92</v>
      </c>
      <c r="IW1" s="1" t="s">
        <v>93</v>
      </c>
      <c r="IX1" s="1" t="s">
        <v>71</v>
      </c>
      <c r="IY1" s="1" t="s">
        <v>46</v>
      </c>
      <c r="IZ1" s="1" t="s">
        <v>92</v>
      </c>
      <c r="JA1" s="1" t="s">
        <v>93</v>
      </c>
      <c r="JB1" s="1" t="s">
        <v>71</v>
      </c>
      <c r="JC1" s="2" t="s">
        <v>47</v>
      </c>
      <c r="JD1" s="1" t="s">
        <v>92</v>
      </c>
      <c r="JE1" s="1" t="s">
        <v>93</v>
      </c>
      <c r="JF1" s="1" t="s">
        <v>71</v>
      </c>
      <c r="JG1" s="1" t="s">
        <v>48</v>
      </c>
      <c r="JH1" s="1" t="s">
        <v>92</v>
      </c>
      <c r="JI1" s="1" t="s">
        <v>93</v>
      </c>
      <c r="JJ1" s="1" t="s">
        <v>71</v>
      </c>
      <c r="JK1" s="2" t="s">
        <v>49</v>
      </c>
      <c r="JL1" s="1" t="s">
        <v>92</v>
      </c>
      <c r="JM1" s="1" t="s">
        <v>93</v>
      </c>
      <c r="JN1" s="1" t="s">
        <v>71</v>
      </c>
      <c r="JO1" s="1" t="s">
        <v>50</v>
      </c>
      <c r="JP1" s="1" t="s">
        <v>92</v>
      </c>
      <c r="JQ1" s="1" t="s">
        <v>93</v>
      </c>
      <c r="JR1" s="1" t="s">
        <v>71</v>
      </c>
      <c r="JS1" s="2" t="s">
        <v>51</v>
      </c>
      <c r="JT1" s="1" t="s">
        <v>92</v>
      </c>
      <c r="JU1" s="1" t="s">
        <v>93</v>
      </c>
      <c r="JV1" s="1" t="s">
        <v>71</v>
      </c>
      <c r="JW1" s="1" t="s">
        <v>52</v>
      </c>
      <c r="JX1" s="1" t="s">
        <v>92</v>
      </c>
      <c r="JY1" s="1" t="s">
        <v>93</v>
      </c>
      <c r="JZ1" s="1" t="s">
        <v>71</v>
      </c>
      <c r="KA1" s="2" t="s">
        <v>53</v>
      </c>
      <c r="KB1" s="1" t="s">
        <v>92</v>
      </c>
      <c r="KC1" s="1" t="s">
        <v>93</v>
      </c>
      <c r="KD1" s="1" t="s">
        <v>71</v>
      </c>
      <c r="KE1" s="1" t="s">
        <v>54</v>
      </c>
      <c r="KF1" s="1" t="s">
        <v>92</v>
      </c>
      <c r="KG1" s="1" t="s">
        <v>93</v>
      </c>
      <c r="KH1" s="1" t="s">
        <v>71</v>
      </c>
      <c r="KI1" s="2" t="s">
        <v>55</v>
      </c>
      <c r="KJ1" s="1" t="s">
        <v>92</v>
      </c>
      <c r="KK1" s="1" t="s">
        <v>93</v>
      </c>
      <c r="KL1" s="1" t="s">
        <v>71</v>
      </c>
      <c r="KM1" s="1" t="s">
        <v>56</v>
      </c>
      <c r="KN1" s="1" t="s">
        <v>92</v>
      </c>
      <c r="KO1" s="1" t="s">
        <v>93</v>
      </c>
      <c r="KP1" s="1" t="s">
        <v>71</v>
      </c>
      <c r="KQ1" s="2" t="s">
        <v>57</v>
      </c>
      <c r="KR1" s="1" t="s">
        <v>92</v>
      </c>
      <c r="KS1" s="1" t="s">
        <v>93</v>
      </c>
      <c r="KT1" s="1" t="s">
        <v>71</v>
      </c>
      <c r="KU1" s="1" t="s">
        <v>58</v>
      </c>
      <c r="KV1" s="1" t="s">
        <v>92</v>
      </c>
      <c r="KW1" s="1" t="s">
        <v>93</v>
      </c>
      <c r="KX1" s="1" t="s">
        <v>71</v>
      </c>
      <c r="KY1" s="2" t="s">
        <v>59</v>
      </c>
      <c r="KZ1" s="1" t="s">
        <v>92</v>
      </c>
      <c r="LA1" s="1" t="s">
        <v>93</v>
      </c>
      <c r="LB1" s="1" t="s">
        <v>71</v>
      </c>
      <c r="LC1" s="1" t="s">
        <v>60</v>
      </c>
      <c r="LD1" s="1" t="s">
        <v>92</v>
      </c>
      <c r="LE1" s="1" t="s">
        <v>93</v>
      </c>
      <c r="LF1" s="1" t="s">
        <v>71</v>
      </c>
      <c r="LG1" s="2" t="s">
        <v>61</v>
      </c>
      <c r="LH1" s="1" t="s">
        <v>92</v>
      </c>
      <c r="LI1" s="1" t="s">
        <v>93</v>
      </c>
      <c r="LJ1" s="1" t="s">
        <v>71</v>
      </c>
      <c r="LK1" s="1" t="s">
        <v>62</v>
      </c>
      <c r="LL1" s="1" t="s">
        <v>92</v>
      </c>
      <c r="LM1" s="1" t="s">
        <v>93</v>
      </c>
      <c r="LN1" s="1" t="s">
        <v>71</v>
      </c>
      <c r="LO1" s="2" t="s">
        <v>63</v>
      </c>
      <c r="LP1" s="1" t="s">
        <v>92</v>
      </c>
      <c r="LQ1" s="1" t="s">
        <v>93</v>
      </c>
      <c r="LR1" s="1" t="s">
        <v>71</v>
      </c>
      <c r="LS1" s="1" t="s">
        <v>64</v>
      </c>
      <c r="LT1" s="1" t="s">
        <v>92</v>
      </c>
      <c r="LU1" s="1" t="s">
        <v>93</v>
      </c>
      <c r="LV1" s="1" t="s">
        <v>71</v>
      </c>
      <c r="LW1" s="2" t="s">
        <v>65</v>
      </c>
      <c r="LX1" s="1" t="s">
        <v>92</v>
      </c>
      <c r="LY1" s="1" t="s">
        <v>93</v>
      </c>
      <c r="LZ1" s="1" t="s">
        <v>71</v>
      </c>
      <c r="MA1" s="1" t="s">
        <v>66</v>
      </c>
      <c r="MB1" s="1" t="s">
        <v>92</v>
      </c>
      <c r="MC1" s="1" t="s">
        <v>93</v>
      </c>
      <c r="MD1" s="1" t="s">
        <v>71</v>
      </c>
      <c r="ME1" s="1" t="s">
        <v>67</v>
      </c>
      <c r="MF1" s="1" t="s">
        <v>92</v>
      </c>
      <c r="MG1" s="1" t="s">
        <v>93</v>
      </c>
      <c r="MH1" s="1" t="s">
        <v>71</v>
      </c>
      <c r="MI1" s="1" t="s">
        <v>67</v>
      </c>
      <c r="MJ1" s="1" t="s">
        <v>92</v>
      </c>
      <c r="MK1" s="1" t="s">
        <v>93</v>
      </c>
      <c r="ML1" s="1" t="s">
        <v>71</v>
      </c>
      <c r="MM1" s="1" t="s">
        <v>67</v>
      </c>
      <c r="MN1" s="1" t="s">
        <v>92</v>
      </c>
      <c r="MO1" s="1" t="s">
        <v>93</v>
      </c>
      <c r="MP1" s="1" t="s">
        <v>71</v>
      </c>
      <c r="MQ1" s="1" t="s">
        <v>67</v>
      </c>
      <c r="MR1" s="1" t="s">
        <v>92</v>
      </c>
      <c r="MS1" s="1" t="s">
        <v>93</v>
      </c>
      <c r="MT1" s="1" t="s">
        <v>71</v>
      </c>
      <c r="MU1" s="1" t="s">
        <v>67</v>
      </c>
      <c r="MV1" s="1" t="s">
        <v>92</v>
      </c>
      <c r="MW1" s="1" t="s">
        <v>93</v>
      </c>
      <c r="MX1" s="1" t="s">
        <v>71</v>
      </c>
      <c r="MY1" s="1" t="s">
        <v>67</v>
      </c>
      <c r="MZ1" s="1" t="s">
        <v>92</v>
      </c>
      <c r="NA1" s="1" t="s">
        <v>93</v>
      </c>
      <c r="NB1" s="1" t="s">
        <v>71</v>
      </c>
      <c r="NC1" s="1" t="s">
        <v>67</v>
      </c>
      <c r="ND1" s="1" t="s">
        <v>92</v>
      </c>
      <c r="NE1" s="1" t="s">
        <v>93</v>
      </c>
      <c r="NF1" s="1" t="s">
        <v>71</v>
      </c>
      <c r="NG1" s="1" t="s">
        <v>67</v>
      </c>
      <c r="NH1" s="1" t="s">
        <v>92</v>
      </c>
      <c r="NI1" s="1" t="s">
        <v>93</v>
      </c>
      <c r="NJ1" s="1" t="s">
        <v>71</v>
      </c>
      <c r="NK1" s="1" t="s">
        <v>67</v>
      </c>
      <c r="NL1" s="1" t="s">
        <v>92</v>
      </c>
      <c r="NM1" s="1" t="s">
        <v>93</v>
      </c>
      <c r="NN1" s="1" t="s">
        <v>71</v>
      </c>
      <c r="NO1" s="1" t="s">
        <v>67</v>
      </c>
      <c r="NP1" s="1" t="s">
        <v>92</v>
      </c>
      <c r="NQ1" s="1" t="s">
        <v>93</v>
      </c>
      <c r="NR1" s="1" t="s">
        <v>71</v>
      </c>
      <c r="NS1" s="1" t="s">
        <v>67</v>
      </c>
      <c r="NT1" s="1" t="s">
        <v>92</v>
      </c>
      <c r="NU1" s="1" t="s">
        <v>93</v>
      </c>
      <c r="NV1" s="1" t="s">
        <v>71</v>
      </c>
      <c r="NW1" s="1" t="s">
        <v>68</v>
      </c>
      <c r="NX1" s="1" t="s">
        <v>92</v>
      </c>
      <c r="NY1" s="1" t="s">
        <v>93</v>
      </c>
      <c r="NZ1" s="1" t="s">
        <v>71</v>
      </c>
      <c r="OA1" s="1" t="s">
        <v>68</v>
      </c>
      <c r="OB1" s="1" t="s">
        <v>92</v>
      </c>
      <c r="OC1" s="1" t="s">
        <v>93</v>
      </c>
      <c r="OD1" s="1" t="s">
        <v>71</v>
      </c>
      <c r="OE1" s="1" t="s">
        <v>68</v>
      </c>
      <c r="OF1" s="1" t="s">
        <v>92</v>
      </c>
      <c r="OG1" s="1" t="s">
        <v>93</v>
      </c>
      <c r="OH1" s="1" t="s">
        <v>71</v>
      </c>
      <c r="OI1" s="1" t="s">
        <v>68</v>
      </c>
      <c r="OJ1" s="1" t="s">
        <v>92</v>
      </c>
      <c r="OK1" s="1" t="s">
        <v>93</v>
      </c>
      <c r="OL1" s="1" t="s">
        <v>71</v>
      </c>
      <c r="OM1" s="1" t="s">
        <v>68</v>
      </c>
      <c r="ON1" s="1" t="s">
        <v>92</v>
      </c>
      <c r="OO1" s="1" t="s">
        <v>93</v>
      </c>
      <c r="OP1" s="1" t="s">
        <v>71</v>
      </c>
      <c r="OQ1" s="1" t="s">
        <v>68</v>
      </c>
      <c r="OR1" s="1" t="s">
        <v>92</v>
      </c>
      <c r="OS1" s="1" t="s">
        <v>93</v>
      </c>
      <c r="OT1" s="1" t="s">
        <v>71</v>
      </c>
      <c r="OU1" s="1" t="s">
        <v>68</v>
      </c>
      <c r="OV1" s="1" t="s">
        <v>92</v>
      </c>
      <c r="OW1" s="1" t="s">
        <v>93</v>
      </c>
      <c r="OX1" s="1" t="s">
        <v>71</v>
      </c>
      <c r="OY1" s="1" t="s">
        <v>68</v>
      </c>
      <c r="OZ1" s="1" t="s">
        <v>92</v>
      </c>
      <c r="PA1" s="1" t="s">
        <v>93</v>
      </c>
      <c r="PB1" s="1" t="s">
        <v>71</v>
      </c>
      <c r="PC1" s="1" t="s">
        <v>68</v>
      </c>
      <c r="PD1" s="1" t="s">
        <v>92</v>
      </c>
      <c r="PE1" s="1" t="s">
        <v>93</v>
      </c>
      <c r="PF1" s="1" t="s">
        <v>71</v>
      </c>
      <c r="PG1" s="1" t="s">
        <v>68</v>
      </c>
      <c r="PH1" s="1" t="s">
        <v>92</v>
      </c>
      <c r="PI1" s="1" t="s">
        <v>93</v>
      </c>
      <c r="PJ1" s="1" t="s">
        <v>71</v>
      </c>
      <c r="PK1" s="1" t="s">
        <v>68</v>
      </c>
      <c r="PL1" s="1" t="s">
        <v>92</v>
      </c>
      <c r="PM1" s="1" t="s">
        <v>93</v>
      </c>
      <c r="PN1" s="1" t="s">
        <v>71</v>
      </c>
      <c r="PO1" s="1" t="s">
        <v>68</v>
      </c>
      <c r="PP1" s="1" t="s">
        <v>92</v>
      </c>
      <c r="PQ1" s="1" t="s">
        <v>93</v>
      </c>
      <c r="PR1" s="1" t="s">
        <v>71</v>
      </c>
      <c r="PS1" s="1" t="s">
        <v>105</v>
      </c>
      <c r="PT1" s="1" t="s">
        <v>106</v>
      </c>
      <c r="PU1" s="1" t="s">
        <v>107</v>
      </c>
      <c r="PV1" s="1" t="s">
        <v>108</v>
      </c>
      <c r="PW1" s="1" t="s">
        <v>109</v>
      </c>
    </row>
    <row r="2" spans="1:439" ht="21" customHeight="1" x14ac:dyDescent="0.2">
      <c r="A2" s="7" t="s">
        <v>111</v>
      </c>
      <c r="B2">
        <f>SUM(AI2,AM2,AQ2,AU2,AY2,BC2,BG2,BK2,BO2,BS2,BW2,CA2,CE2,CI2,CM2,CQ2,CU2,CY2,DC2,DG2,DK2,DO2,DS2,DW2,EA2,EE2,EI2,EM2,EQ2,EU2,EY2,FC2,FG2,FK2,FO2,FS2,FW2,GA2,GE2,GI2,GM2,GQ2,GU2,GY2,HC2,HG2,HK2,HO2,HS2,HW2,IA2,IE2,II2,IM2,IQ2,IU2,IY2,JC2,JG2,JK2,JO2,JS2,JW2,KA2,KE2,KI2,KM2,KQ2,KU2,KY2,LC2,LG2,LK2,LO2,LS2,LW2,MA2,ME2,MI2,MM2,MQ2,MU2,MY2,NC2,NG2,NK2,NO2,NS2,NW2,OA2,OE2,OI2,OM2,OQ2,OU2,OY2,PC2,PG2,PK2,PO2)</f>
        <v>2355</v>
      </c>
      <c r="C2">
        <f>SUM(CY2,DC2,DG2,DK2,DO2,DS2,DW2,EA2,EE2,EI2,EM2,EQ2,EU2,EY2,FC2,FG2,FK2,FO2,FS2,FW2,GA2,GE2,GI2,GM2,GQ2,GU2)</f>
        <v>2070</v>
      </c>
      <c r="D2">
        <f>SUM(GY2,HC2,HG2,HK2,HO2,HS2,HW2,IA2,IE2,II2,IM2,IQ2)</f>
        <v>0</v>
      </c>
      <c r="E2">
        <f>SUM(IU2,IY2,JC2,JG2,JK2,JO2,JS2,JW2,KA2,KE2,KI2,KM2,KQ2,KU2,KY2,LC2,LG2,LK2,LO2,LS2,LW2,MA2,ME2,MI2,MM2,MQ2,MU2,MY2,NC2,NG2,NK2,NO2,NS2,NW2,OA2,OE2,OI2,OM2,OQ2,OU2,OY2,PC2,PG2,PK2,PO2)</f>
        <v>0</v>
      </c>
      <c r="F2">
        <f>SUM(AI2,AM2,AQ2,AU2,AY2,BC2,BG2,BK2,BO2,BS2,BW2,CA2,CE2,CI2,CM2,CQ2,CU2)</f>
        <v>285</v>
      </c>
      <c r="G2">
        <f>SUM(H2:I2)</f>
        <v>28</v>
      </c>
      <c r="H2" s="3">
        <f>COUNTIF(AI2:PR2,"T")</f>
        <v>28</v>
      </c>
      <c r="I2" s="3">
        <f>COUNTIF(AI2:PR2,"R")</f>
        <v>0</v>
      </c>
      <c r="J2" s="3">
        <f>COUNTIF(AI2:PR2,"NR")</f>
        <v>6</v>
      </c>
      <c r="K2">
        <f>SUM(L2:M2)</f>
        <v>23</v>
      </c>
      <c r="L2" s="3">
        <f>COUNTIF(CY2:GX2,"T")</f>
        <v>23</v>
      </c>
      <c r="M2" s="3">
        <f>COUNTIF(CY2:GX2,"R")</f>
        <v>0</v>
      </c>
      <c r="N2" s="3">
        <f>COUNTIF(CY2:GX2,"NR")</f>
        <v>0</v>
      </c>
      <c r="O2">
        <f>SUM(P2:Q2)</f>
        <v>0</v>
      </c>
      <c r="P2" s="3">
        <f>COUNTIF(GY2:IT2,"T")</f>
        <v>0</v>
      </c>
      <c r="Q2" s="3">
        <f>COUNTIF(GY2:IT2,"R")</f>
        <v>0</v>
      </c>
      <c r="R2" s="3">
        <f>COUNTIF(GY2:IT2,"NR")</f>
        <v>6</v>
      </c>
      <c r="S2">
        <f>SUM(T2:U2)</f>
        <v>0</v>
      </c>
      <c r="T2" s="3">
        <f>COUNTIF(IU2:PR2,"T")</f>
        <v>0</v>
      </c>
      <c r="U2" s="3">
        <f>COUNTIF(IU2:PR2,"R")</f>
        <v>0</v>
      </c>
      <c r="V2" s="3">
        <f t="shared" ref="V2:V29" si="0">COUNTIF(IU:PR,"NR")</f>
        <v>0</v>
      </c>
      <c r="W2" s="3">
        <f>SUM(AK2,AO2,AS2,AW2,BA2,BE2,BI2,BM2,BQ2,BU2,BY2,CC2,CG2,CK2,CO2,CS2,CW2,DA2,DE2,DI2,DM2,DQ2,DU2,DY2,EC2,EG2,EK2,EO2,ES2,EW2,FA2,FE2,FI2,FM2,FQ2,FU2,FY2,GC2,GG2,GK2,GO2,GS2,GW2,HA2,HE2,HI2,HM2,HQ2,HU2,HY2,IC2,IG2,IK2,IO2,IS2,IW2,JA2,JE2,JI2,JM2,JQ2,JU2,JY2,KC2,KG2,KK2,KO2,KS2,KW2,LA2,LE2,LI2,LM2,LQ2,LU2,LY2,MC2,MG2,MK2,MO2,MS2,MW2,NA2,NE2,NI2,NM2,NQ2,NU2,NY2,OC2,OG2,OK2,OO2,OS2,OW2,PA2,PE2,PI2,PM2,PQ2)</f>
        <v>0</v>
      </c>
      <c r="X2" s="4">
        <f>SUM(DA2,DE2,DI2,DM2,DQ2,DU2,DY2,EC2,EG2,EK2,EO2,ES2,EW2,FA2,FE2,FI2,FM2,FQ2,FU2,FY2,GC2,GG2,GK2,GO2,GS2,GW2,HA2,HE2,HI2,HM2,HQ2,HU2,HY2,IC2,IG2,IK2,IO2,IS2,IW2,JA2,JE2,JI2,JM2,JQ2,JU2,JY2,KC2,KG2,KK2,KO2,KS2,KW2,LA2,LE2,LI2,LM2,LQ2,LU2,LY2,MC2,MG2,MK2,MO2,MS2,MW2,NA2,NE2,NI2,NM2,NQ2,NU2,NY2,OC2,OG2,OK2,OO2,OS2,OW2,PA2,PE2,PI2,PM2,PQ2)</f>
        <v>0</v>
      </c>
      <c r="Y2" s="4">
        <f>SUM(AL2,AP2,AT2,AX2,BB2,BF2,BJ2,BN2,BR2,BV2,BZ2,CD2,CH2,CL2,CP2,CT2,CX2,DB2,DF2,DJ2,DN2,DR2,DV2,DZ2,ED2,EH2,EL2,EP2,ET2,EX2,FB2,FF2,FJ2,FN2,FR2,FV2,FZ2,GD2,GH2,GL2,GP2,GT2,GX2,HB2,HF2,HJ2,HN2,HR2,HV2,HZ2,ID2,IH2,IL2,IP2,IT2,IX2,JB2,JF2,JJ2,JN2,JR2,JV2,JZ2,KD2,KH2,KL2,KP2,KT2,KX2,LB2,LF2,LJ2,LN2,LR2,LV2,LZ2,MD2,MH2,ML2,MP2,MT2,MX2,NB2,NF2,NJ2,NN2,NR2,NV2,NZ2,OD2,OH2,OL2,OP2,OT2,OX2,PB2,PF2,PJ2,PN2,PR2)</f>
        <v>1</v>
      </c>
      <c r="Z2" s="4">
        <f>SUM(DB2,DF2,DJ2,DN2,DR2,DV2,DZ2,ED2,EH2,EL2,EP2,ET2,EX2,FB2,FF2,FJ2,FN2,FR2,FV2,FZ2,GD2,GH2,GL2,GP2,GT2,GX2,HB2,HF2,HJ2,HN2,HR2,HV2,HZ2,ID2,IH2,IL2,IP2,IT2,IX2,JB2,JF2,JJ2,JN2,JR2,JV2,JZ2,KD2,KH2,KL2,KP2,KT2,KX2,LB2,LF2,LJ2,LN2,LR2,LV2,LZ2,MD2,MH2,ML2,MP2,MT2,MX2,NB2,NF2,NJ2,NN2,NR2,NV2,NZ2,OD2,OH2,OL2,OP2,OT2,OX2,PB2,PF2,PJ2,PN2,PR2)</f>
        <v>1</v>
      </c>
      <c r="AA2">
        <f>SUM(DA2,DE2,DI2,DM2,DQ2,DU2,DY2,EC2,EG2,EK2,EO2,ES2,EW2,FA2,FE2,FI2,FM2,FQ2,FU2,FY2,GC2,GG2,GK2,GO2,GS2,GW2)</f>
        <v>0</v>
      </c>
      <c r="AB2">
        <f>SUM(DB2,DF2,DJ2,DN2,DR2,DV2,DZ2,ED2,EH2,EL2,EP2,ET2,EX2,FB2,FF2,FJ2,FN2,FR2,FV2,FZ2,GD2,GH2,GL2,GP2,GT2,GX2)</f>
        <v>1</v>
      </c>
      <c r="AC2">
        <f>SUM(HA2,HE2,HI2,HM2,HQ2,HU2,HY2,IC2,IG2,IK2,IO2,IS2)</f>
        <v>0</v>
      </c>
      <c r="AD2">
        <f>SUM(HB2,HF2,HJ2,HN2,HR2,HV2,HZ2,ID2,IH2,IL2,IP2,IT2)</f>
        <v>0</v>
      </c>
      <c r="AE2">
        <f>SUM(AK2,AO2,AS2,AW2,BA2,BE2,BI2,BM2,BQ2,BU2,BY2,CC2,CG2,CK2,CO2,CS2,CW2)</f>
        <v>0</v>
      </c>
      <c r="AF2">
        <f>SUM(AL2,AP2,AT2,AX2,BB2,BF2,BJ2,BN2,BR2,BV2,BZ2,CD2,CH2,CL2,CP2,CT2,CX2)</f>
        <v>0</v>
      </c>
      <c r="AG2">
        <f>SUM(IW2,JA2,JE2,JI2,JM2,JQ2,JU2,JY2,KC2,KG2,KK2,KO2,KS2,KW2,LA2,LE2,LI2,LM2,LQ2,LU2,LY2,MC2,MG2,MK2,MO2,MS2,MW2,NA2,NE2,NI2,NM2,NQ2,NU2,NY2,OC2,OG2,OK2,OO2,OS2,OW2,PA2,PE2,PI2,PM2,PQ2)</f>
        <v>0</v>
      </c>
      <c r="AH2">
        <f>SUM(IX2,JB2,JF2,JJ2,JN2,JR2,JV2,JZ2,KD2,KH2,KL2,KP2,KT2,KX2,LB2,LF2,LJ2,LN2,LR2,LV2,LZ2,MD2,MH2,ML2,MP2,MT2,MX2,NB2,NF2,NJ2,NN2,NR2,NV2,NZ2,OD2,OH2,OL2,OP2,OT2,OX2,PB2,PF2,PJ2,PN2,PR2)</f>
        <v>0</v>
      </c>
      <c r="AI2">
        <v>45</v>
      </c>
      <c r="AJ2" t="s">
        <v>110</v>
      </c>
      <c r="AM2">
        <v>45</v>
      </c>
      <c r="AN2" t="s">
        <v>110</v>
      </c>
      <c r="AQ2">
        <v>45</v>
      </c>
      <c r="AR2" t="s">
        <v>110</v>
      </c>
      <c r="AU2">
        <v>60</v>
      </c>
      <c r="AV2" t="s">
        <v>110</v>
      </c>
      <c r="BC2">
        <v>90</v>
      </c>
      <c r="BD2" t="s">
        <v>110</v>
      </c>
      <c r="BH2" t="s">
        <v>139</v>
      </c>
      <c r="CY2">
        <v>90</v>
      </c>
      <c r="CZ2" t="s">
        <v>110</v>
      </c>
      <c r="DC2">
        <v>90</v>
      </c>
      <c r="DD2" t="s">
        <v>110</v>
      </c>
      <c r="DG2">
        <v>90</v>
      </c>
      <c r="DH2" t="s">
        <v>110</v>
      </c>
      <c r="DK2">
        <v>90</v>
      </c>
      <c r="DL2" t="s">
        <v>110</v>
      </c>
      <c r="DO2">
        <v>90</v>
      </c>
      <c r="DP2" t="s">
        <v>110</v>
      </c>
      <c r="DS2">
        <v>90</v>
      </c>
      <c r="DT2" t="s">
        <v>110</v>
      </c>
      <c r="DW2">
        <v>90</v>
      </c>
      <c r="DX2" t="s">
        <v>110</v>
      </c>
      <c r="EA2">
        <v>90</v>
      </c>
      <c r="EB2" t="s">
        <v>110</v>
      </c>
      <c r="EE2">
        <v>90</v>
      </c>
      <c r="EF2" t="s">
        <v>110</v>
      </c>
      <c r="EI2">
        <v>90</v>
      </c>
      <c r="EJ2" t="s">
        <v>110</v>
      </c>
      <c r="EM2">
        <v>90</v>
      </c>
      <c r="EN2" t="s">
        <v>110</v>
      </c>
      <c r="ER2" t="s">
        <v>139</v>
      </c>
      <c r="EV2" t="s">
        <v>139</v>
      </c>
      <c r="EY2">
        <v>90</v>
      </c>
      <c r="EZ2" t="s">
        <v>110</v>
      </c>
      <c r="FC2">
        <v>90</v>
      </c>
      <c r="FD2" t="s">
        <v>110</v>
      </c>
      <c r="FG2">
        <v>90</v>
      </c>
      <c r="FH2" t="s">
        <v>110</v>
      </c>
      <c r="FK2">
        <v>90</v>
      </c>
      <c r="FL2" t="s">
        <v>110</v>
      </c>
      <c r="FO2">
        <v>90</v>
      </c>
      <c r="FP2" t="s">
        <v>110</v>
      </c>
      <c r="FS2">
        <v>90</v>
      </c>
      <c r="FT2" t="s">
        <v>110</v>
      </c>
      <c r="FW2">
        <v>90</v>
      </c>
      <c r="FX2" t="s">
        <v>110</v>
      </c>
      <c r="GA2">
        <v>90</v>
      </c>
      <c r="GB2" t="s">
        <v>110</v>
      </c>
      <c r="GE2">
        <v>90</v>
      </c>
      <c r="GF2" t="s">
        <v>110</v>
      </c>
      <c r="GI2">
        <v>90</v>
      </c>
      <c r="GJ2" t="s">
        <v>110</v>
      </c>
      <c r="GL2">
        <v>1</v>
      </c>
      <c r="GM2">
        <v>90</v>
      </c>
      <c r="GN2" t="s">
        <v>110</v>
      </c>
      <c r="GQ2">
        <v>90</v>
      </c>
      <c r="GR2" t="s">
        <v>110</v>
      </c>
      <c r="HD2" t="s">
        <v>138</v>
      </c>
      <c r="HH2" t="s">
        <v>138</v>
      </c>
      <c r="HL2" t="s">
        <v>138</v>
      </c>
      <c r="HP2" t="s">
        <v>138</v>
      </c>
      <c r="HT2" t="s">
        <v>138</v>
      </c>
      <c r="HX2" t="s">
        <v>138</v>
      </c>
      <c r="PS2" s="3">
        <f>COUNTIF(AI2:PR2,"HG")</f>
        <v>3</v>
      </c>
      <c r="PT2" s="3">
        <f>COUNTIF(CY2:GX2,"HG")</f>
        <v>2</v>
      </c>
      <c r="PU2" s="3">
        <f>COUNTIF(GY2:IT2,"HG")</f>
        <v>0</v>
      </c>
      <c r="PV2">
        <f t="shared" ref="PV2:PV29" si="1">COUNTIF(IU:PR,"HG")</f>
        <v>0</v>
      </c>
      <c r="PW2">
        <f>G2-(K2+O2+S2)</f>
        <v>5</v>
      </c>
    </row>
    <row r="3" spans="1:439" x14ac:dyDescent="0.2">
      <c r="A3" s="2" t="s">
        <v>112</v>
      </c>
      <c r="B3">
        <f>SUM(AI3,AM3,AQ3,AU3,AY3,BC3,BG3,BK3,BO3,BS3,BW3,CA3,CE3,CI3,CM3,CQ3,CU3,CY3,DC3,DG3,DK3,DO3,DS3,DW3,EA3,EE3,EI3,EM3,EQ3,EU3,EY3,FC3,FG3,FK3,FO3,FS3,FW3,GA3,GE3,GI3,GM3,GQ3,GU3,GY3,HC3,HG3,HK3,HO3,HS3,HW3,IA3,IE3,II3,IM3,IQ3,IU3,IY3,JC3,JG3,JK3,JO3,JS3,JW3,KA3,KE3,KI3,KM3,KQ3,KU3,KY3,LC3,LG3,LK3,LO3,LS3,LW3,MA3,ME3,MI3,MM3,MQ3,MU3,MY3,NC3,NG3,NK3,NO3,NS3,NW3,OA3,OE3,OI3,OM3,OQ3,OU3,OY3,PC3,PG3,PK3,PO3)</f>
        <v>900</v>
      </c>
      <c r="C3">
        <f t="shared" ref="C3:C29" si="2">SUM(CY3,DC3,DG3,DK3,DO3,DS3,DW3,EA3,EE3,EI3,EM3,EQ3,EU3,EY3,FC3,FG3,FK3,FO3,FS3,FW3,GA3,GE3,GI3,GM3,GQ3,GU3)</f>
        <v>0</v>
      </c>
      <c r="D3">
        <f t="shared" ref="D3:D29" si="3">SUM(GY3,HC3,HG3,HK3,HO3,HS3,HW3,IA3,IE3,II3,IM3,IQ3)</f>
        <v>0</v>
      </c>
      <c r="E3">
        <f t="shared" ref="E3:E29" si="4">SUM(IU3,IY3,JC3,JG3,JK3,JO3,JS3,JW3,KA3,KE3,KI3,KM3,KQ3,KU3,KY3,LC3,LG3,LK3,LO3,LS3,LW3,MA3,ME3,MI3,MM3,MQ3,MU3,MY3,NC3,NG3,NK3,NO3,NS3,NW3,OA3,OE3,OI3,OM3,OQ3,OU3,OY3,PC3,PG3,PK3,PO3)</f>
        <v>810</v>
      </c>
      <c r="F3">
        <f t="shared" ref="F3:F30" si="5">SUM(AI3,AM3,AQ3,AU3,AY3,BC3,BG3,BK3,BO3,BS3,BW3,CA3,CE3,CI3,CM3,CQ3,CU3)</f>
        <v>90</v>
      </c>
      <c r="G3">
        <f t="shared" ref="G3:G29" si="6">SUM(H3:I3)</f>
        <v>11</v>
      </c>
      <c r="H3" s="3">
        <f t="shared" ref="H3:H29" si="7">COUNTIF(AI3:PR3,"T")</f>
        <v>9</v>
      </c>
      <c r="I3" s="3">
        <f t="shared" ref="I3:I29" si="8">COUNTIF(AI3:PR3,"R")</f>
        <v>2</v>
      </c>
      <c r="J3" s="3">
        <f t="shared" ref="J3:J29" si="9">COUNTIF(AI3:PR3,"NR")</f>
        <v>0</v>
      </c>
      <c r="K3">
        <f t="shared" ref="K3:K29" si="10">SUM(L3:M3)</f>
        <v>0</v>
      </c>
      <c r="L3" s="3">
        <f t="shared" ref="L3:L29" si="11">COUNTIF(CY3:GX3,"T")</f>
        <v>0</v>
      </c>
      <c r="M3" s="3">
        <f t="shared" ref="M3:M29" si="12">COUNTIF(CY3:GX3,"R")</f>
        <v>0</v>
      </c>
      <c r="N3" s="3">
        <f t="shared" ref="N3:N29" si="13">COUNTIF(CY3:GX3,"NR")</f>
        <v>0</v>
      </c>
      <c r="O3">
        <f t="shared" ref="O3:O29" si="14">SUM(P3:Q3)</f>
        <v>0</v>
      </c>
      <c r="P3" s="3">
        <f t="shared" ref="P3:P29" si="15">COUNTIF(GY3:IT3,"T")</f>
        <v>0</v>
      </c>
      <c r="Q3" s="3">
        <f t="shared" ref="Q3:Q29" si="16">COUNTIF(GY3:IT3,"R")</f>
        <v>0</v>
      </c>
      <c r="R3" s="3">
        <f t="shared" ref="R3:R29" si="17">COUNTIF(GY3:IT3,"NR")</f>
        <v>0</v>
      </c>
      <c r="S3">
        <f t="shared" ref="S3:S29" si="18">SUM(T3:U3)</f>
        <v>9</v>
      </c>
      <c r="T3" s="3">
        <f t="shared" ref="T3:T29" si="19">COUNTIF(IU3:PR3,"T")</f>
        <v>9</v>
      </c>
      <c r="U3" s="3">
        <f t="shared" ref="U3:U29" si="20">COUNTIF(IU3:PR3,"R")</f>
        <v>0</v>
      </c>
      <c r="V3" s="3">
        <f t="shared" si="0"/>
        <v>0</v>
      </c>
      <c r="W3" s="3">
        <f t="shared" ref="W3:W29" si="21">SUM(AK3,AO3,AS3,AW3,BA3,BE3,BI3,BM3,BQ3,BU3,BY3,CC3,CG3,CK3,CO3,CS3,CW3,DA3,DE3,DI3,DM3,DQ3,DU3,DY3,EC3,EG3,EK3,EO3,ES3,EW3,FA3,FE3,FI3,FM3,FQ3,FU3,FY3,GC3,GG3,GK3,GO3,GS3,GW3,HA3,HE3,HI3,HM3,HQ3,HU3,HY3,IC3,IG3,IK3,IO3,IS3,IW3,JA3,JE3,JI3,JM3,JQ3,JU3,JY3,KC3,KG3,KK3,KO3,KS3,KW3,LA3,LE3,LI3,LM3,LQ3,LU3,LY3,MC3,MG3,MK3,MO3,MS3,MW3,NA3,NE3,NI3,NM3,NQ3,NU3,NY3,OC3,OG3,OK3,OO3,OS3,OW3,PA3,PE3,PI3,PM3,PQ3)</f>
        <v>0</v>
      </c>
      <c r="X3" s="4">
        <f t="shared" ref="X3:X29" si="22">SUM(DA3,DE3,DI3,DM3,DQ3,DU3,DY3,EC3,EG3,EK3,EO3,ES3,EW3,FA3,FE3,FI3,FM3,FQ3,FU3,FY3,GC3,GG3,GK3,GO3,GS3,GW3,HA3,HE3,HI3,HM3,HQ3,HU3,HY3,IC3,IG3,IK3,IO3,IS3,IW3,JA3,JE3,JI3,JM3,JQ3,JU3,JY3,KC3,KG3,KK3,KO3,KS3,KW3,LA3,LE3,LI3,LM3,LQ3,LU3,LY3,MC3,MG3,MK3,MO3,MS3,MW3,NA3,NE3,NI3,NM3,NQ3,NU3,NY3,OC3,OG3,OK3,OO3,OS3,OW3,PA3,PE3,PI3,PM3,PQ3)</f>
        <v>0</v>
      </c>
      <c r="Y3" s="4">
        <f t="shared" ref="Y3:Y29" si="23">SUM(AL3,AP3,AT3,AX3,BB3,BF3,BJ3,BN3,BR3,BV3,BZ3,CD3,CH3,CL3,CP3,CT3,CX3,DB3,DF3,DJ3,DN3,DR3,DV3,DZ3,ED3,EH3,EL3,EP3,ET3,EX3,FB3,FF3,FJ3,FN3,FR3,FV3,FZ3,GD3,GH3,GL3,GP3,GT3,GX3,HB3,HF3,HJ3,HN3,HR3,HV3,HZ3,ID3,IH3,IL3,IP3,IT3,IX3,JB3,JF3,JJ3,JN3,JR3,JV3,JZ3,KD3,KH3,KL3,KP3,KT3,KX3,LB3,LF3,LJ3,LN3,LR3,LV3,LZ3,MD3,MH3,ML3,MP3,MT3,MX3,NB3,NF3,NJ3,NN3,NR3,NV3,NZ3,OD3,OH3,OL3,OP3,OT3,OX3,PB3,PF3,PJ3,PN3,PR3)</f>
        <v>0</v>
      </c>
      <c r="Z3" s="4">
        <f t="shared" ref="Z3:Z29" si="24">SUM(DB3,DF3,DJ3,DN3,DR3,DV3,DZ3,ED3,EH3,EL3,EP3,ET3,EX3,FB3,FF3,FJ3,FN3,FR3,FV3,FZ3,GD3,GH3,GL3,GP3,GT3,GX3,HB3,HF3,HJ3,HN3,HR3,HV3,HZ3,ID3,IH3,IL3,IP3,IT3,IX3,JB3,JF3,JJ3,JN3,JR3,JV3,JZ3,KD3,KH3,KL3,KP3,KT3,KX3,LB3,LF3,LJ3,LN3,LR3,LV3,LZ3,MD3,MH3,ML3,MP3,MT3,MX3,NB3,NF3,NJ3,NN3,NR3,NV3,NZ3,OD3,OH3,OL3,OP3,OT3,OX3,PB3,PF3,PJ3,PN3,PR3)</f>
        <v>0</v>
      </c>
      <c r="AA3">
        <f t="shared" ref="AA3:AA29" si="25">SUM(DA3,DE3,DI3,DM3,DQ3,DU3,DY3,EC3,EG3,EK3,EO3,ES3,EW3,FA3,FE3,FI3,FM3,FQ3,FU3,FY3,GC3,GG3,GK3,GO3,GS3,GW3)</f>
        <v>0</v>
      </c>
      <c r="AB3">
        <f t="shared" ref="AB3:AB29" si="26">SUM(DB3,DF3,DJ3,DN3,DR3,DV3,DZ3,ED3,EH3,EL3,EP3,ET3,EX3,FB3,FF3,FJ3,FN3,FR3,FV3,FZ3,GD3,GH3,GL3,GP3,GT3,GX3)</f>
        <v>0</v>
      </c>
      <c r="AC3">
        <f t="shared" ref="AC3:AC29" si="27">SUM(HA3,HE3,HI3,HM3,HQ3,HU3,HY3,IC3,IG3,IK3,IO3,IS3)</f>
        <v>0</v>
      </c>
      <c r="AD3">
        <f t="shared" ref="AD3:AD29" si="28">SUM(HB3,HF3,HJ3,HN3,HR3,HV3,HZ3,ID3,IH3,IL3,IP3,IT3)</f>
        <v>0</v>
      </c>
      <c r="AE3">
        <f t="shared" ref="AE3:AE29" si="29">SUM(AK3,AO3,AS3,AW3,BA3,BE3,BI3,BM3,BQ3,BU3,BY3,CC3,CG3,CK3,CO3,CS3,CW3)</f>
        <v>0</v>
      </c>
      <c r="AF3">
        <f t="shared" ref="AF3:AF29" si="30">SUM(AL3,AP3,AT3,AX3,BB3,BF3,BJ3,BN3,BR3,BV3,BZ3,CD3,CH3,CL3,CP3,CT3,CX3)</f>
        <v>0</v>
      </c>
      <c r="AG3">
        <f t="shared" ref="AG3:AG29" si="31">SUM(IW3,JA3,JE3,JI3,JM3,JQ3,JU3,JY3,KC3,KG3,KK3,KO3,KS3,KW3,LA3,LE3,LI3,LM3,LQ3,LU3,LY3,MC3,MG3,MK3,MO3,MS3,MW3,NA3,NE3,NI3,NM3,NQ3,NU3,NY3,OC3,OG3,OK3,OO3,OS3,OW3,PA3,PE3,PI3,PM3,PQ3)</f>
        <v>0</v>
      </c>
      <c r="AH3">
        <f t="shared" ref="AH3:AH29" si="32">SUM(IX3,JB3,JF3,JJ3,JN3,JR3,JV3,JZ3,KD3,KH3,KL3,KP3,KT3,KX3,LB3,LF3,LJ3,LN3,LR3,LV3,LZ3,MD3,MH3,ML3,MP3,MT3,MX3,NB3,NF3,NJ3,NN3,NR3,NV3,NZ3,OD3,OH3,OL3,OP3,OT3,OX3,PB3,PF3,PJ3,PN3,PR3)</f>
        <v>0</v>
      </c>
      <c r="AM3">
        <v>45</v>
      </c>
      <c r="AN3" t="s">
        <v>136</v>
      </c>
      <c r="BG3">
        <v>45</v>
      </c>
      <c r="BH3" t="s">
        <v>136</v>
      </c>
      <c r="CZ3" t="s">
        <v>139</v>
      </c>
      <c r="DD3" t="s">
        <v>139</v>
      </c>
      <c r="DH3" t="s">
        <v>139</v>
      </c>
      <c r="DL3" t="s">
        <v>139</v>
      </c>
      <c r="DP3" t="s">
        <v>139</v>
      </c>
      <c r="DT3" t="s">
        <v>139</v>
      </c>
      <c r="DX3" t="s">
        <v>139</v>
      </c>
      <c r="EB3" t="s">
        <v>139</v>
      </c>
      <c r="EF3" t="s">
        <v>139</v>
      </c>
      <c r="EJ3" t="s">
        <v>139</v>
      </c>
      <c r="EN3" t="s">
        <v>139</v>
      </c>
      <c r="ER3" t="s">
        <v>139</v>
      </c>
      <c r="EV3" t="s">
        <v>139</v>
      </c>
      <c r="EZ3" t="s">
        <v>139</v>
      </c>
      <c r="FD3" t="s">
        <v>139</v>
      </c>
      <c r="FH3" t="s">
        <v>139</v>
      </c>
      <c r="FL3" t="s">
        <v>139</v>
      </c>
      <c r="FP3" t="s">
        <v>139</v>
      </c>
      <c r="FT3" t="s">
        <v>139</v>
      </c>
      <c r="FX3" t="s">
        <v>139</v>
      </c>
      <c r="GB3" t="s">
        <v>139</v>
      </c>
      <c r="GF3" t="s">
        <v>139</v>
      </c>
      <c r="GJ3" t="s">
        <v>139</v>
      </c>
      <c r="GN3" t="s">
        <v>139</v>
      </c>
      <c r="GR3" t="s">
        <v>139</v>
      </c>
      <c r="HD3" t="s">
        <v>139</v>
      </c>
      <c r="HH3" t="s">
        <v>139</v>
      </c>
      <c r="HL3" t="s">
        <v>139</v>
      </c>
      <c r="HP3" t="s">
        <v>139</v>
      </c>
      <c r="HT3" t="s">
        <v>139</v>
      </c>
      <c r="HX3" t="s">
        <v>139</v>
      </c>
      <c r="IY3">
        <v>90</v>
      </c>
      <c r="IZ3" t="s">
        <v>110</v>
      </c>
      <c r="JK3">
        <v>90</v>
      </c>
      <c r="JL3" t="s">
        <v>110</v>
      </c>
      <c r="JO3">
        <v>90</v>
      </c>
      <c r="JP3" t="s">
        <v>110</v>
      </c>
      <c r="KI3">
        <v>90</v>
      </c>
      <c r="KJ3" t="s">
        <v>110</v>
      </c>
      <c r="KM3">
        <v>90</v>
      </c>
      <c r="KN3" t="s">
        <v>110</v>
      </c>
      <c r="KQ3">
        <v>90</v>
      </c>
      <c r="KR3" t="s">
        <v>110</v>
      </c>
      <c r="KY3">
        <v>90</v>
      </c>
      <c r="KZ3" t="s">
        <v>110</v>
      </c>
      <c r="LG3">
        <v>90</v>
      </c>
      <c r="LH3" t="s">
        <v>110</v>
      </c>
      <c r="ME3">
        <v>90</v>
      </c>
      <c r="MF3" t="s">
        <v>110</v>
      </c>
      <c r="PS3" s="3">
        <f t="shared" ref="PS3:PS29" si="33">COUNTIF(AI3:PR3,"HG")</f>
        <v>31</v>
      </c>
      <c r="PT3" s="3">
        <f t="shared" ref="PT3:PT29" si="34">COUNTIF(CY3:GX3,"HG")</f>
        <v>25</v>
      </c>
      <c r="PU3" s="3">
        <f t="shared" ref="PU3:PU29" si="35">COUNTIF(GY3:IT3,"HG")</f>
        <v>6</v>
      </c>
      <c r="PV3">
        <f t="shared" si="1"/>
        <v>0</v>
      </c>
      <c r="PW3">
        <f t="shared" ref="PW3:PW29" si="36">G3-(K3+O3+S3)</f>
        <v>2</v>
      </c>
    </row>
    <row r="4" spans="1:439" x14ac:dyDescent="0.2">
      <c r="A4" s="2" t="s">
        <v>113</v>
      </c>
      <c r="B4">
        <f t="shared" ref="B4:B29" si="37">SUM(AI4,AM4,AQ4,AU4,AY4,BC4,BG4,BK4,BO4,BS4,BW4,CA4,CE4,CI4,CM4,CQ4,CU4,CY4,DC4,DG4,DK4,DO4,DS4,DW4,EA4,EE4,EI4,EM4,EQ4,EU4,EY4,FC4,FG4,FK4,FO4,FS4,FW4,GA4,GE4,GI4,GM4,GQ4,GU4,GY4,HC4,HG4,HK4,HO4,HS4,HW4,IA4,IE4,II4,IM4,IQ4,IU4,IY4,JC4,JG4,JK4,JO4,JS4,JW4,KA4,KE4,KI4,KM4,KQ4,KU4,KY4,LC4,LG4,LK4,LO4,LS4,LW4,MA4,ME4,MI4,MM4,MQ4,MU4,MY4,NC4,NG4,NK4,NO4,NS4,NW4,OA4,OE4,OI4,OM4,OQ4,OU4,OY4,PC4,PG4,PK4,PO4)</f>
        <v>1515</v>
      </c>
      <c r="C4">
        <f t="shared" si="2"/>
        <v>180</v>
      </c>
      <c r="D4">
        <f t="shared" si="3"/>
        <v>630</v>
      </c>
      <c r="E4">
        <f t="shared" si="4"/>
        <v>450</v>
      </c>
      <c r="F4">
        <f t="shared" si="5"/>
        <v>255</v>
      </c>
      <c r="G4">
        <f t="shared" ref="G4" si="38">SUM(H4:I4)</f>
        <v>19</v>
      </c>
      <c r="H4" s="3">
        <f t="shared" ref="H4" si="39">COUNTIF(AI4:PR4,"T")</f>
        <v>16</v>
      </c>
      <c r="I4" s="3">
        <f t="shared" ref="I4" si="40">COUNTIF(AI4:PR4,"R")</f>
        <v>3</v>
      </c>
      <c r="J4" s="3">
        <f t="shared" ref="J4" si="41">COUNTIF(AI4:PR4,"NR")</f>
        <v>14</v>
      </c>
      <c r="K4">
        <f t="shared" ref="K4" si="42">SUM(L4:M4)</f>
        <v>2</v>
      </c>
      <c r="L4" s="3">
        <f t="shared" ref="L4" si="43">COUNTIF(CY4:GX4,"T")</f>
        <v>2</v>
      </c>
      <c r="M4" s="3">
        <f t="shared" ref="M4" si="44">COUNTIF(CY4:GX4,"R")</f>
        <v>0</v>
      </c>
      <c r="N4" s="3">
        <f t="shared" ref="N4" si="45">COUNTIF(CY4:GX4,"NR")</f>
        <v>14</v>
      </c>
      <c r="O4">
        <f t="shared" ref="O4" si="46">SUM(P4:Q4)</f>
        <v>7</v>
      </c>
      <c r="P4" s="3">
        <f t="shared" ref="P4" si="47">COUNTIF(GY4:IT4,"T")</f>
        <v>7</v>
      </c>
      <c r="Q4" s="3">
        <f t="shared" ref="Q4" si="48">COUNTIF(GY4:IT4,"R")</f>
        <v>0</v>
      </c>
      <c r="R4" s="3">
        <f t="shared" ref="R4" si="49">COUNTIF(GY4:IT4,"NR")</f>
        <v>0</v>
      </c>
      <c r="S4">
        <f t="shared" ref="S4" si="50">SUM(T4:U4)</f>
        <v>5</v>
      </c>
      <c r="T4" s="3">
        <f t="shared" si="19"/>
        <v>5</v>
      </c>
      <c r="U4" s="3">
        <f t="shared" si="20"/>
        <v>0</v>
      </c>
      <c r="V4" s="3">
        <f t="shared" si="0"/>
        <v>0</v>
      </c>
      <c r="W4" s="3">
        <f t="shared" ref="W4" si="51">SUM(AK4,AO4,AS4,AW4,BA4,BE4,BI4,BM4,BQ4,BU4,BY4,CC4,CG4,CK4,CO4,CS4,CW4,DA4,DE4,DI4,DM4,DQ4,DU4,DY4,EC4,EG4,EK4,EO4,ES4,EW4,FA4,FE4,FI4,FM4,FQ4,FU4,FY4,GC4,GG4,GK4,GO4,GS4,GW4,HA4,HE4,HI4,HM4,HQ4,HU4,HY4,IC4,IG4,IK4,IO4,IS4,IW4,JA4,JE4,JI4,JM4,JQ4,JU4,JY4,KC4,KG4,KK4,KO4,KS4,KW4,LA4,LE4,LI4,LM4,LQ4,LU4,LY4,MC4,MG4,MK4,MO4,MS4,MW4,NA4,NE4,NI4,NM4,NQ4,NU4,NY4,OC4,OG4,OK4,OO4,OS4,OW4,PA4,PE4,PI4,PM4,PQ4)</f>
        <v>0</v>
      </c>
      <c r="X4" s="4">
        <f t="shared" ref="X4" si="52">SUM(DA4,DE4,DI4,DM4,DQ4,DU4,DY4,EC4,EG4,EK4,EO4,ES4,EW4,FA4,FE4,FI4,FM4,FQ4,FU4,FY4,GC4,GG4,GK4,GO4,GS4,GW4,HA4,HE4,HI4,HM4,HQ4,HU4,HY4,IC4,IG4,IK4,IO4,IS4,IW4,JA4,JE4,JI4,JM4,JQ4,JU4,JY4,KC4,KG4,KK4,KO4,KS4,KW4,LA4,LE4,LI4,LM4,LQ4,LU4,LY4,MC4,MG4,MK4,MO4,MS4,MW4,NA4,NE4,NI4,NM4,NQ4,NU4,NY4,OC4,OG4,OK4,OO4,OS4,OW4,PA4,PE4,PI4,PM4,PQ4)</f>
        <v>0</v>
      </c>
      <c r="Y4" s="4">
        <f t="shared" ref="Y4" si="53">SUM(AL4,AP4,AT4,AX4,BB4,BF4,BJ4,BN4,BR4,BV4,BZ4,CD4,CH4,CL4,CP4,CT4,CX4,DB4,DF4,DJ4,DN4,DR4,DV4,DZ4,ED4,EH4,EL4,EP4,ET4,EX4,FB4,FF4,FJ4,FN4,FR4,FV4,FZ4,GD4,GH4,GL4,GP4,GT4,GX4,HB4,HF4,HJ4,HN4,HR4,HV4,HZ4,ID4,IH4,IL4,IP4,IT4,IX4,JB4,JF4,JJ4,JN4,JR4,JV4,JZ4,KD4,KH4,KL4,KP4,KT4,KX4,LB4,LF4,LJ4,LN4,LR4,LV4,LZ4,MD4,MH4,ML4,MP4,MT4,MX4,NB4,NF4,NJ4,NN4,NR4,NV4,NZ4,OD4,OH4,OL4,OP4,OT4,OX4,PB4,PF4,PJ4,PN4,PR4)</f>
        <v>0</v>
      </c>
      <c r="Z4" s="4">
        <f t="shared" ref="Z4" si="54">SUM(DB4,DF4,DJ4,DN4,DR4,DV4,DZ4,ED4,EH4,EL4,EP4,ET4,EX4,FB4,FF4,FJ4,FN4,FR4,FV4,FZ4,GD4,GH4,GL4,GP4,GT4,GX4,HB4,HF4,HJ4,HN4,HR4,HV4,HZ4,ID4,IH4,IL4,IP4,IT4,IX4,JB4,JF4,JJ4,JN4,JR4,JV4,JZ4,KD4,KH4,KL4,KP4,KT4,KX4,LB4,LF4,LJ4,LN4,LR4,LV4,LZ4,MD4,MH4,ML4,MP4,MT4,MX4,NB4,NF4,NJ4,NN4,NR4,NV4,NZ4,OD4,OH4,OL4,OP4,OT4,OX4,PB4,PF4,PJ4,PN4,PR4)</f>
        <v>0</v>
      </c>
      <c r="AA4">
        <f t="shared" ref="AA4" si="55">SUM(DA4,DE4,DI4,DM4,DQ4,DU4,DY4,EC4,EG4,EK4,EO4,ES4,EW4,FA4,FE4,FI4,FM4,FQ4,FU4,FY4,GC4,GG4,GK4,GO4,GS4,GW4)</f>
        <v>0</v>
      </c>
      <c r="AB4">
        <f t="shared" ref="AB4" si="56">SUM(DB4,DF4,DJ4,DN4,DR4,DV4,DZ4,ED4,EH4,EL4,EP4,ET4,EX4,FB4,FF4,FJ4,FN4,FR4,FV4,FZ4,GD4,GH4,GL4,GP4,GT4,GX4)</f>
        <v>0</v>
      </c>
      <c r="AC4">
        <f t="shared" ref="AC4" si="57">SUM(HA4,HE4,HI4,HM4,HQ4,HU4,HY4,IC4,IG4,IK4,IO4,IS4)</f>
        <v>0</v>
      </c>
      <c r="AD4">
        <f t="shared" ref="AD4" si="58">SUM(HB4,HF4,HJ4,HN4,HR4,HV4,HZ4,ID4,IH4,IL4,IP4,IT4)</f>
        <v>0</v>
      </c>
      <c r="AE4">
        <f t="shared" ref="AE4" si="59">SUM(AK4,AO4,AS4,AW4,BA4,BE4,BI4,BM4,BQ4,BU4,BY4,CC4,CG4,CK4,CO4,CS4,CW4)</f>
        <v>0</v>
      </c>
      <c r="AF4">
        <f t="shared" ref="AF4" si="60">SUM(AL4,AP4,AT4,AX4,BB4,BF4,BJ4,BN4,BR4,BV4,BZ4,CD4,CH4,CL4,CP4,CT4,CX4)</f>
        <v>0</v>
      </c>
      <c r="AG4">
        <f t="shared" ref="AG4" si="61">SUM(IW4,JA4,JE4,JI4,JM4,JQ4,JU4,JY4,KC4,KG4,KK4,KO4,KS4,KW4,LA4,LE4,LI4,LM4,LQ4,LU4,LY4,MC4,MG4,MK4,MO4,MS4,MW4,NA4,NE4,NI4,NM4,NQ4,NU4,NY4,OC4,OG4,OK4,OO4,OS4,OW4,PA4,PE4,PI4,PM4,PQ4)</f>
        <v>0</v>
      </c>
      <c r="AH4">
        <f t="shared" ref="AH4" si="62">SUM(IX4,JB4,JF4,JJ4,JN4,JR4,JV4,JZ4,KD4,KH4,KL4,KP4,KT4,KX4,LB4,LF4,LJ4,LN4,LR4,LV4,LZ4,MD4,MH4,ML4,MP4,MT4,MX4,NB4,NF4,NJ4,NN4,NR4,NV4,NZ4,OD4,OH4,OL4,OP4,OT4,OX4,PB4,PF4,PJ4,PN4,PR4)</f>
        <v>0</v>
      </c>
      <c r="AI4">
        <v>45</v>
      </c>
      <c r="AJ4" t="s">
        <v>136</v>
      </c>
      <c r="AQ4">
        <v>45</v>
      </c>
      <c r="AR4" t="s">
        <v>136</v>
      </c>
      <c r="AU4">
        <v>30</v>
      </c>
      <c r="AV4" t="s">
        <v>136</v>
      </c>
      <c r="AY4">
        <v>90</v>
      </c>
      <c r="AZ4" t="s">
        <v>110</v>
      </c>
      <c r="BG4">
        <v>45</v>
      </c>
      <c r="BH4" t="s">
        <v>110</v>
      </c>
      <c r="CZ4" t="s">
        <v>138</v>
      </c>
      <c r="DD4" t="s">
        <v>139</v>
      </c>
      <c r="DH4" t="s">
        <v>138</v>
      </c>
      <c r="DL4" t="s">
        <v>138</v>
      </c>
      <c r="DP4" t="s">
        <v>139</v>
      </c>
      <c r="DT4" t="s">
        <v>138</v>
      </c>
      <c r="DX4" t="s">
        <v>139</v>
      </c>
      <c r="EB4" t="s">
        <v>138</v>
      </c>
      <c r="EF4" t="s">
        <v>139</v>
      </c>
      <c r="EJ4" t="s">
        <v>138</v>
      </c>
      <c r="EN4" t="s">
        <v>138</v>
      </c>
      <c r="EQ4">
        <v>90</v>
      </c>
      <c r="ER4" t="s">
        <v>110</v>
      </c>
      <c r="EU4">
        <v>90</v>
      </c>
      <c r="EV4" t="s">
        <v>110</v>
      </c>
      <c r="EZ4" t="s">
        <v>138</v>
      </c>
      <c r="FD4" t="s">
        <v>139</v>
      </c>
      <c r="FH4" t="s">
        <v>139</v>
      </c>
      <c r="FL4" t="s">
        <v>138</v>
      </c>
      <c r="FP4" t="s">
        <v>139</v>
      </c>
      <c r="FT4" t="s">
        <v>138</v>
      </c>
      <c r="FX4" t="s">
        <v>139</v>
      </c>
      <c r="GB4" t="s">
        <v>138</v>
      </c>
      <c r="GF4" t="s">
        <v>139</v>
      </c>
      <c r="GJ4" t="s">
        <v>138</v>
      </c>
      <c r="GN4" t="s">
        <v>138</v>
      </c>
      <c r="GR4" t="s">
        <v>138</v>
      </c>
      <c r="GY4">
        <v>90</v>
      </c>
      <c r="GZ4" t="s">
        <v>110</v>
      </c>
      <c r="HC4">
        <v>90</v>
      </c>
      <c r="HD4" t="s">
        <v>110</v>
      </c>
      <c r="HG4">
        <v>90</v>
      </c>
      <c r="HH4" t="s">
        <v>110</v>
      </c>
      <c r="HK4">
        <v>90</v>
      </c>
      <c r="HL4" t="s">
        <v>110</v>
      </c>
      <c r="HO4">
        <v>90</v>
      </c>
      <c r="HP4" t="s">
        <v>110</v>
      </c>
      <c r="HS4">
        <v>90</v>
      </c>
      <c r="HT4" t="s">
        <v>110</v>
      </c>
      <c r="HW4">
        <v>90</v>
      </c>
      <c r="HX4" t="s">
        <v>110</v>
      </c>
      <c r="IU4">
        <v>90</v>
      </c>
      <c r="IV4" t="s">
        <v>110</v>
      </c>
      <c r="JS4">
        <v>90</v>
      </c>
      <c r="JT4" t="s">
        <v>110</v>
      </c>
      <c r="KE4">
        <v>90</v>
      </c>
      <c r="KF4" t="s">
        <v>110</v>
      </c>
      <c r="KU4">
        <v>90</v>
      </c>
      <c r="KV4" t="s">
        <v>110</v>
      </c>
      <c r="LC4">
        <v>90</v>
      </c>
      <c r="LD4" t="s">
        <v>110</v>
      </c>
      <c r="PS4" s="3">
        <f t="shared" ref="PS4" si="63">COUNTIF(AI4:PR4,"HG")</f>
        <v>9</v>
      </c>
      <c r="PT4" s="3">
        <f t="shared" ref="PT4" si="64">COUNTIF(CY4:GX4,"HG")</f>
        <v>9</v>
      </c>
      <c r="PU4" s="3">
        <f t="shared" ref="PU4" si="65">COUNTIF(GY4:IT4,"HG")</f>
        <v>0</v>
      </c>
      <c r="PV4">
        <f t="shared" si="1"/>
        <v>0</v>
      </c>
      <c r="PW4">
        <f t="shared" ref="PW4" si="66">G4-(K4+O4+S4)</f>
        <v>5</v>
      </c>
    </row>
    <row r="5" spans="1:439" x14ac:dyDescent="0.2">
      <c r="A5" s="2" t="s">
        <v>114</v>
      </c>
      <c r="B5">
        <f t="shared" si="37"/>
        <v>1919</v>
      </c>
      <c r="C5">
        <f t="shared" si="2"/>
        <v>1309</v>
      </c>
      <c r="D5">
        <f t="shared" si="3"/>
        <v>265</v>
      </c>
      <c r="E5">
        <f t="shared" si="4"/>
        <v>0</v>
      </c>
      <c r="F5">
        <f t="shared" si="5"/>
        <v>345</v>
      </c>
      <c r="G5">
        <f t="shared" si="6"/>
        <v>28</v>
      </c>
      <c r="H5" s="3">
        <f t="shared" si="7"/>
        <v>23</v>
      </c>
      <c r="I5" s="3">
        <f t="shared" si="8"/>
        <v>5</v>
      </c>
      <c r="J5" s="3">
        <f t="shared" si="9"/>
        <v>0</v>
      </c>
      <c r="K5">
        <f t="shared" si="10"/>
        <v>18</v>
      </c>
      <c r="L5" s="3">
        <f t="shared" si="11"/>
        <v>15</v>
      </c>
      <c r="M5" s="3">
        <f t="shared" si="12"/>
        <v>3</v>
      </c>
      <c r="N5" s="3">
        <f t="shared" si="13"/>
        <v>0</v>
      </c>
      <c r="O5">
        <f t="shared" si="14"/>
        <v>3</v>
      </c>
      <c r="P5" s="3">
        <f t="shared" si="15"/>
        <v>3</v>
      </c>
      <c r="Q5" s="3">
        <f t="shared" si="16"/>
        <v>0</v>
      </c>
      <c r="R5" s="3">
        <f t="shared" si="17"/>
        <v>0</v>
      </c>
      <c r="S5">
        <f t="shared" si="18"/>
        <v>0</v>
      </c>
      <c r="T5" s="3">
        <f t="shared" si="19"/>
        <v>0</v>
      </c>
      <c r="U5" s="3">
        <f t="shared" si="20"/>
        <v>0</v>
      </c>
      <c r="V5" s="3">
        <f t="shared" si="0"/>
        <v>0</v>
      </c>
      <c r="W5" s="3">
        <f t="shared" si="21"/>
        <v>1</v>
      </c>
      <c r="X5" s="4">
        <f t="shared" si="22"/>
        <v>1</v>
      </c>
      <c r="Y5" s="4">
        <f t="shared" si="23"/>
        <v>1</v>
      </c>
      <c r="Z5" s="4">
        <f t="shared" si="24"/>
        <v>1</v>
      </c>
      <c r="AA5">
        <f t="shared" si="25"/>
        <v>1</v>
      </c>
      <c r="AB5">
        <f t="shared" si="26"/>
        <v>1</v>
      </c>
      <c r="AC5">
        <f t="shared" si="27"/>
        <v>0</v>
      </c>
      <c r="AD5">
        <f t="shared" si="28"/>
        <v>0</v>
      </c>
      <c r="AE5">
        <f t="shared" si="29"/>
        <v>0</v>
      </c>
      <c r="AF5">
        <f t="shared" si="30"/>
        <v>0</v>
      </c>
      <c r="AG5">
        <f t="shared" si="31"/>
        <v>0</v>
      </c>
      <c r="AH5">
        <f t="shared" si="32"/>
        <v>0</v>
      </c>
      <c r="AI5">
        <v>45</v>
      </c>
      <c r="AJ5" t="s">
        <v>110</v>
      </c>
      <c r="AM5">
        <v>45</v>
      </c>
      <c r="AN5" t="s">
        <v>110</v>
      </c>
      <c r="AQ5">
        <v>45</v>
      </c>
      <c r="AR5" t="s">
        <v>110</v>
      </c>
      <c r="AU5">
        <v>60</v>
      </c>
      <c r="AV5" t="s">
        <v>110</v>
      </c>
      <c r="AY5">
        <v>45</v>
      </c>
      <c r="AZ5" t="s">
        <v>136</v>
      </c>
      <c r="BC5">
        <v>60</v>
      </c>
      <c r="BD5" t="s">
        <v>110</v>
      </c>
      <c r="BG5">
        <v>45</v>
      </c>
      <c r="BH5" t="s">
        <v>136</v>
      </c>
      <c r="CY5">
        <v>90</v>
      </c>
      <c r="CZ5" t="s">
        <v>110</v>
      </c>
      <c r="DC5">
        <v>90</v>
      </c>
      <c r="DD5" t="s">
        <v>110</v>
      </c>
      <c r="DH5" t="s">
        <v>139</v>
      </c>
      <c r="DL5" t="s">
        <v>139</v>
      </c>
      <c r="DP5" t="s">
        <v>139</v>
      </c>
      <c r="DS5">
        <v>90</v>
      </c>
      <c r="DT5" t="s">
        <v>110</v>
      </c>
      <c r="DW5">
        <v>51</v>
      </c>
      <c r="DX5" t="s">
        <v>110</v>
      </c>
      <c r="EB5" t="s">
        <v>139</v>
      </c>
      <c r="EF5" t="s">
        <v>139</v>
      </c>
      <c r="EJ5" t="s">
        <v>139</v>
      </c>
      <c r="EM5">
        <v>90</v>
      </c>
      <c r="EN5" t="s">
        <v>110</v>
      </c>
      <c r="EQ5">
        <v>90</v>
      </c>
      <c r="ER5" t="s">
        <v>110</v>
      </c>
      <c r="EU5">
        <v>90</v>
      </c>
      <c r="EV5" t="s">
        <v>110</v>
      </c>
      <c r="EY5">
        <v>1</v>
      </c>
      <c r="EZ5" t="s">
        <v>136</v>
      </c>
      <c r="FC5">
        <v>90</v>
      </c>
      <c r="FD5" t="s">
        <v>110</v>
      </c>
      <c r="FG5">
        <v>1</v>
      </c>
      <c r="FH5" t="s">
        <v>136</v>
      </c>
      <c r="FK5">
        <v>90</v>
      </c>
      <c r="FL5" t="s">
        <v>110</v>
      </c>
      <c r="FO5">
        <v>90</v>
      </c>
      <c r="FP5" t="s">
        <v>110</v>
      </c>
      <c r="FS5">
        <v>90</v>
      </c>
      <c r="FT5" t="s">
        <v>110</v>
      </c>
      <c r="FW5">
        <v>90</v>
      </c>
      <c r="FX5" t="s">
        <v>110</v>
      </c>
      <c r="FY5">
        <v>1</v>
      </c>
      <c r="GA5">
        <v>8</v>
      </c>
      <c r="GB5" t="s">
        <v>136</v>
      </c>
      <c r="GE5">
        <v>90</v>
      </c>
      <c r="GF5" t="s">
        <v>110</v>
      </c>
      <c r="GI5">
        <v>90</v>
      </c>
      <c r="GJ5" t="s">
        <v>110</v>
      </c>
      <c r="GM5">
        <v>78</v>
      </c>
      <c r="GN5" t="s">
        <v>110</v>
      </c>
      <c r="GP5">
        <v>1</v>
      </c>
      <c r="GR5" t="s">
        <v>139</v>
      </c>
      <c r="HD5" t="s">
        <v>139</v>
      </c>
      <c r="HG5">
        <v>85</v>
      </c>
      <c r="HH5" t="s">
        <v>110</v>
      </c>
      <c r="HK5">
        <v>90</v>
      </c>
      <c r="HL5" t="s">
        <v>110</v>
      </c>
      <c r="HP5" t="s">
        <v>139</v>
      </c>
      <c r="HT5" t="s">
        <v>139</v>
      </c>
      <c r="HW5">
        <v>90</v>
      </c>
      <c r="HX5" t="s">
        <v>110</v>
      </c>
      <c r="PS5" s="3">
        <f t="shared" si="33"/>
        <v>10</v>
      </c>
      <c r="PT5" s="3">
        <f t="shared" si="34"/>
        <v>7</v>
      </c>
      <c r="PU5" s="3">
        <f t="shared" si="35"/>
        <v>3</v>
      </c>
      <c r="PV5">
        <f t="shared" si="1"/>
        <v>0</v>
      </c>
      <c r="PW5">
        <f t="shared" si="36"/>
        <v>7</v>
      </c>
    </row>
    <row r="6" spans="1:439" x14ac:dyDescent="0.2">
      <c r="A6" s="2" t="s">
        <v>115</v>
      </c>
      <c r="B6">
        <f t="shared" si="37"/>
        <v>606</v>
      </c>
      <c r="C6">
        <f t="shared" si="2"/>
        <v>0</v>
      </c>
      <c r="D6">
        <f t="shared" si="3"/>
        <v>0</v>
      </c>
      <c r="E6">
        <f t="shared" si="4"/>
        <v>336</v>
      </c>
      <c r="F6">
        <f t="shared" si="5"/>
        <v>270</v>
      </c>
      <c r="G6">
        <f t="shared" si="6"/>
        <v>10</v>
      </c>
      <c r="H6" s="3">
        <f t="shared" si="7"/>
        <v>6</v>
      </c>
      <c r="I6" s="3">
        <f t="shared" si="8"/>
        <v>4</v>
      </c>
      <c r="J6" s="3">
        <f t="shared" si="9"/>
        <v>1</v>
      </c>
      <c r="K6">
        <f t="shared" si="10"/>
        <v>0</v>
      </c>
      <c r="L6" s="3">
        <f t="shared" si="11"/>
        <v>0</v>
      </c>
      <c r="M6" s="3">
        <f t="shared" si="12"/>
        <v>0</v>
      </c>
      <c r="N6" s="3">
        <f t="shared" si="13"/>
        <v>1</v>
      </c>
      <c r="O6">
        <f t="shared" si="14"/>
        <v>0</v>
      </c>
      <c r="P6" s="3">
        <f t="shared" si="15"/>
        <v>0</v>
      </c>
      <c r="Q6" s="3">
        <f t="shared" si="16"/>
        <v>0</v>
      </c>
      <c r="R6" s="3">
        <f t="shared" si="17"/>
        <v>0</v>
      </c>
      <c r="S6">
        <f t="shared" si="18"/>
        <v>4</v>
      </c>
      <c r="T6" s="3">
        <f t="shared" si="19"/>
        <v>4</v>
      </c>
      <c r="U6" s="3">
        <f t="shared" si="20"/>
        <v>0</v>
      </c>
      <c r="V6" s="3">
        <f t="shared" si="0"/>
        <v>0</v>
      </c>
      <c r="W6" s="3">
        <f t="shared" si="21"/>
        <v>0</v>
      </c>
      <c r="X6" s="4">
        <f t="shared" si="22"/>
        <v>0</v>
      </c>
      <c r="Y6" s="4">
        <f t="shared" si="23"/>
        <v>0</v>
      </c>
      <c r="Z6" s="4">
        <f t="shared" si="24"/>
        <v>0</v>
      </c>
      <c r="AA6">
        <f t="shared" si="25"/>
        <v>0</v>
      </c>
      <c r="AB6">
        <f t="shared" si="26"/>
        <v>0</v>
      </c>
      <c r="AC6">
        <f t="shared" si="27"/>
        <v>0</v>
      </c>
      <c r="AD6">
        <f t="shared" si="28"/>
        <v>0</v>
      </c>
      <c r="AE6">
        <f t="shared" si="29"/>
        <v>0</v>
      </c>
      <c r="AF6">
        <f t="shared" si="30"/>
        <v>0</v>
      </c>
      <c r="AG6">
        <f t="shared" si="31"/>
        <v>0</v>
      </c>
      <c r="AH6">
        <f t="shared" si="32"/>
        <v>0</v>
      </c>
      <c r="AI6">
        <v>60</v>
      </c>
      <c r="AJ6" t="s">
        <v>110</v>
      </c>
      <c r="AM6">
        <v>45</v>
      </c>
      <c r="AN6" t="s">
        <v>136</v>
      </c>
      <c r="AQ6">
        <v>45</v>
      </c>
      <c r="AR6" t="s">
        <v>136</v>
      </c>
      <c r="AU6">
        <v>45</v>
      </c>
      <c r="AV6" t="s">
        <v>136</v>
      </c>
      <c r="AY6">
        <v>45</v>
      </c>
      <c r="AZ6" t="s">
        <v>110</v>
      </c>
      <c r="BC6">
        <v>30</v>
      </c>
      <c r="BD6" t="s">
        <v>136</v>
      </c>
      <c r="BH6" t="s">
        <v>139</v>
      </c>
      <c r="CZ6" t="s">
        <v>138</v>
      </c>
      <c r="DD6" t="s">
        <v>139</v>
      </c>
      <c r="DH6" t="s">
        <v>139</v>
      </c>
      <c r="DL6" t="s">
        <v>139</v>
      </c>
      <c r="DP6" t="s">
        <v>139</v>
      </c>
      <c r="DT6" t="s">
        <v>139</v>
      </c>
      <c r="DX6" t="s">
        <v>139</v>
      </c>
      <c r="EB6" t="s">
        <v>139</v>
      </c>
      <c r="EF6" t="s">
        <v>139</v>
      </c>
      <c r="EJ6" t="s">
        <v>139</v>
      </c>
      <c r="EN6" t="s">
        <v>139</v>
      </c>
      <c r="ER6" t="s">
        <v>139</v>
      </c>
      <c r="EV6" t="s">
        <v>139</v>
      </c>
      <c r="EZ6" t="s">
        <v>139</v>
      </c>
      <c r="FD6" t="s">
        <v>139</v>
      </c>
      <c r="FH6" t="s">
        <v>139</v>
      </c>
      <c r="FL6" t="s">
        <v>139</v>
      </c>
      <c r="FP6" t="s">
        <v>139</v>
      </c>
      <c r="FT6" t="s">
        <v>139</v>
      </c>
      <c r="FX6" t="s">
        <v>139</v>
      </c>
      <c r="GB6" t="s">
        <v>139</v>
      </c>
      <c r="GF6" t="s">
        <v>139</v>
      </c>
      <c r="GJ6" t="s">
        <v>139</v>
      </c>
      <c r="GN6" t="s">
        <v>139</v>
      </c>
      <c r="GR6" t="s">
        <v>139</v>
      </c>
      <c r="HD6" t="s">
        <v>139</v>
      </c>
      <c r="HH6" t="s">
        <v>139</v>
      </c>
      <c r="HL6" t="s">
        <v>139</v>
      </c>
      <c r="HP6" t="s">
        <v>139</v>
      </c>
      <c r="HT6" t="s">
        <v>139</v>
      </c>
      <c r="HX6" t="s">
        <v>139</v>
      </c>
      <c r="JC6">
        <v>90</v>
      </c>
      <c r="JD6" t="s">
        <v>110</v>
      </c>
      <c r="KE6">
        <v>90</v>
      </c>
      <c r="KF6" t="s">
        <v>110</v>
      </c>
      <c r="KY6">
        <v>66</v>
      </c>
      <c r="KZ6" t="s">
        <v>110</v>
      </c>
      <c r="LC6">
        <v>90</v>
      </c>
      <c r="LD6" t="s">
        <v>110</v>
      </c>
      <c r="PS6" s="3">
        <f t="shared" si="33"/>
        <v>31</v>
      </c>
      <c r="PT6" s="3">
        <f t="shared" si="34"/>
        <v>24</v>
      </c>
      <c r="PU6" s="3">
        <f t="shared" si="35"/>
        <v>6</v>
      </c>
      <c r="PV6">
        <f t="shared" si="1"/>
        <v>0</v>
      </c>
      <c r="PW6">
        <f t="shared" si="36"/>
        <v>6</v>
      </c>
    </row>
    <row r="7" spans="1:439" x14ac:dyDescent="0.2">
      <c r="A7" s="2" t="s">
        <v>116</v>
      </c>
      <c r="B7">
        <f t="shared" si="37"/>
        <v>2568</v>
      </c>
      <c r="C7">
        <f t="shared" si="2"/>
        <v>1723</v>
      </c>
      <c r="D7">
        <f t="shared" si="3"/>
        <v>610</v>
      </c>
      <c r="E7">
        <f t="shared" si="4"/>
        <v>0</v>
      </c>
      <c r="F7">
        <f t="shared" si="5"/>
        <v>235</v>
      </c>
      <c r="G7">
        <f t="shared" si="6"/>
        <v>31</v>
      </c>
      <c r="H7" s="3">
        <f t="shared" si="7"/>
        <v>30</v>
      </c>
      <c r="I7" s="3">
        <f t="shared" si="8"/>
        <v>1</v>
      </c>
      <c r="J7" s="3">
        <f t="shared" si="9"/>
        <v>0</v>
      </c>
      <c r="K7">
        <f t="shared" si="10"/>
        <v>20</v>
      </c>
      <c r="L7" s="3">
        <f t="shared" si="11"/>
        <v>20</v>
      </c>
      <c r="M7" s="3">
        <f t="shared" si="12"/>
        <v>0</v>
      </c>
      <c r="N7" s="3">
        <f t="shared" si="13"/>
        <v>0</v>
      </c>
      <c r="O7">
        <f t="shared" si="14"/>
        <v>7</v>
      </c>
      <c r="P7" s="3">
        <f t="shared" si="15"/>
        <v>7</v>
      </c>
      <c r="Q7" s="3">
        <f t="shared" si="16"/>
        <v>0</v>
      </c>
      <c r="R7" s="3">
        <f t="shared" si="17"/>
        <v>0</v>
      </c>
      <c r="S7">
        <f t="shared" si="18"/>
        <v>0</v>
      </c>
      <c r="T7" s="3">
        <f t="shared" si="19"/>
        <v>0</v>
      </c>
      <c r="U7" s="3">
        <f t="shared" si="20"/>
        <v>0</v>
      </c>
      <c r="V7" s="3">
        <f t="shared" si="0"/>
        <v>0</v>
      </c>
      <c r="W7" s="3">
        <f t="shared" si="21"/>
        <v>3</v>
      </c>
      <c r="X7" s="4">
        <f t="shared" si="22"/>
        <v>3</v>
      </c>
      <c r="Y7" s="4">
        <f t="shared" si="23"/>
        <v>1</v>
      </c>
      <c r="Z7" s="4">
        <f t="shared" si="24"/>
        <v>1</v>
      </c>
      <c r="AA7">
        <f t="shared" si="25"/>
        <v>2</v>
      </c>
      <c r="AB7">
        <f t="shared" si="26"/>
        <v>1</v>
      </c>
      <c r="AC7">
        <f t="shared" si="27"/>
        <v>1</v>
      </c>
      <c r="AD7">
        <f t="shared" si="28"/>
        <v>0</v>
      </c>
      <c r="AE7">
        <f t="shared" si="29"/>
        <v>0</v>
      </c>
      <c r="AF7">
        <f t="shared" si="30"/>
        <v>0</v>
      </c>
      <c r="AG7">
        <f t="shared" si="31"/>
        <v>0</v>
      </c>
      <c r="AH7">
        <f t="shared" si="32"/>
        <v>0</v>
      </c>
      <c r="AU7">
        <v>30</v>
      </c>
      <c r="AV7" t="s">
        <v>136</v>
      </c>
      <c r="AY7">
        <v>60</v>
      </c>
      <c r="AZ7" t="s">
        <v>110</v>
      </c>
      <c r="BC7">
        <v>70</v>
      </c>
      <c r="BD7" t="s">
        <v>110</v>
      </c>
      <c r="BG7">
        <v>75</v>
      </c>
      <c r="BH7" t="s">
        <v>110</v>
      </c>
      <c r="CZ7" t="s">
        <v>139</v>
      </c>
      <c r="DD7" t="s">
        <v>139</v>
      </c>
      <c r="DG7">
        <v>59</v>
      </c>
      <c r="DH7" t="s">
        <v>110</v>
      </c>
      <c r="DK7">
        <v>90</v>
      </c>
      <c r="DL7" t="s">
        <v>110</v>
      </c>
      <c r="DO7">
        <v>90</v>
      </c>
      <c r="DP7" t="s">
        <v>110</v>
      </c>
      <c r="DS7">
        <v>90</v>
      </c>
      <c r="DT7" t="s">
        <v>110</v>
      </c>
      <c r="DX7" t="s">
        <v>139</v>
      </c>
      <c r="EA7">
        <v>90</v>
      </c>
      <c r="EB7" t="s">
        <v>110</v>
      </c>
      <c r="EE7">
        <v>90</v>
      </c>
      <c r="EF7" t="s">
        <v>110</v>
      </c>
      <c r="EI7">
        <v>90</v>
      </c>
      <c r="EJ7" t="s">
        <v>110</v>
      </c>
      <c r="EM7">
        <v>90</v>
      </c>
      <c r="EN7" t="s">
        <v>110</v>
      </c>
      <c r="EO7">
        <v>1</v>
      </c>
      <c r="EQ7">
        <v>44</v>
      </c>
      <c r="ER7" t="s">
        <v>110</v>
      </c>
      <c r="EV7" t="s">
        <v>139</v>
      </c>
      <c r="EY7">
        <v>90</v>
      </c>
      <c r="EZ7" t="s">
        <v>110</v>
      </c>
      <c r="FC7">
        <v>90</v>
      </c>
      <c r="FD7" t="s">
        <v>110</v>
      </c>
      <c r="FG7">
        <v>90</v>
      </c>
      <c r="FH7" t="s">
        <v>110</v>
      </c>
      <c r="FK7">
        <v>90</v>
      </c>
      <c r="FL7" t="s">
        <v>110</v>
      </c>
      <c r="FO7">
        <v>90</v>
      </c>
      <c r="FP7" t="s">
        <v>110</v>
      </c>
      <c r="FQ7">
        <v>1</v>
      </c>
      <c r="FT7" t="s">
        <v>139</v>
      </c>
      <c r="FW7">
        <v>90</v>
      </c>
      <c r="FX7" t="s">
        <v>110</v>
      </c>
      <c r="GA7">
        <v>90</v>
      </c>
      <c r="GB7" t="s">
        <v>110</v>
      </c>
      <c r="GE7">
        <v>90</v>
      </c>
      <c r="GF7" t="s">
        <v>110</v>
      </c>
      <c r="GH7">
        <v>1</v>
      </c>
      <c r="GI7">
        <v>90</v>
      </c>
      <c r="GJ7" t="s">
        <v>110</v>
      </c>
      <c r="GM7">
        <v>90</v>
      </c>
      <c r="GN7" t="s">
        <v>110</v>
      </c>
      <c r="GQ7">
        <v>90</v>
      </c>
      <c r="GR7" t="s">
        <v>110</v>
      </c>
      <c r="GY7">
        <v>90</v>
      </c>
      <c r="GZ7" t="s">
        <v>110</v>
      </c>
      <c r="HC7">
        <v>90</v>
      </c>
      <c r="HD7" t="s">
        <v>110</v>
      </c>
      <c r="HG7">
        <v>90</v>
      </c>
      <c r="HH7" t="s">
        <v>110</v>
      </c>
      <c r="HK7">
        <v>90</v>
      </c>
      <c r="HL7" t="s">
        <v>110</v>
      </c>
      <c r="HO7">
        <v>70</v>
      </c>
      <c r="HP7" t="s">
        <v>110</v>
      </c>
      <c r="HS7">
        <v>90</v>
      </c>
      <c r="HT7" t="s">
        <v>110</v>
      </c>
      <c r="HU7">
        <v>1</v>
      </c>
      <c r="HW7">
        <v>90</v>
      </c>
      <c r="HX7" t="s">
        <v>110</v>
      </c>
      <c r="PS7" s="3">
        <f t="shared" si="33"/>
        <v>5</v>
      </c>
      <c r="PT7" s="3">
        <f t="shared" si="34"/>
        <v>5</v>
      </c>
      <c r="PU7" s="3">
        <f t="shared" si="35"/>
        <v>0</v>
      </c>
      <c r="PV7">
        <f t="shared" si="1"/>
        <v>0</v>
      </c>
      <c r="PW7">
        <f t="shared" si="36"/>
        <v>4</v>
      </c>
    </row>
    <row r="8" spans="1:439" x14ac:dyDescent="0.2">
      <c r="A8" s="2" t="s">
        <v>117</v>
      </c>
      <c r="B8">
        <f t="shared" si="37"/>
        <v>959</v>
      </c>
      <c r="C8">
        <f t="shared" si="2"/>
        <v>0</v>
      </c>
      <c r="D8">
        <f t="shared" si="3"/>
        <v>24</v>
      </c>
      <c r="E8">
        <f t="shared" si="4"/>
        <v>720</v>
      </c>
      <c r="F8">
        <f t="shared" si="5"/>
        <v>215</v>
      </c>
      <c r="G8">
        <f t="shared" si="6"/>
        <v>16</v>
      </c>
      <c r="H8" s="3">
        <f t="shared" si="7"/>
        <v>8</v>
      </c>
      <c r="I8" s="3">
        <f t="shared" si="8"/>
        <v>8</v>
      </c>
      <c r="J8" s="3">
        <f t="shared" si="9"/>
        <v>3</v>
      </c>
      <c r="K8">
        <f t="shared" si="10"/>
        <v>0</v>
      </c>
      <c r="L8" s="3">
        <f t="shared" si="11"/>
        <v>0</v>
      </c>
      <c r="M8" s="3">
        <f t="shared" si="12"/>
        <v>0</v>
      </c>
      <c r="N8" s="3">
        <f t="shared" si="13"/>
        <v>2</v>
      </c>
      <c r="O8">
        <f t="shared" si="14"/>
        <v>2</v>
      </c>
      <c r="P8" s="3">
        <f t="shared" si="15"/>
        <v>0</v>
      </c>
      <c r="Q8" s="3">
        <f t="shared" si="16"/>
        <v>2</v>
      </c>
      <c r="R8" s="3">
        <f t="shared" si="17"/>
        <v>1</v>
      </c>
      <c r="S8">
        <f>SUM(T8:U8)</f>
        <v>8</v>
      </c>
      <c r="T8" s="3">
        <f t="shared" si="19"/>
        <v>8</v>
      </c>
      <c r="U8" s="3">
        <f t="shared" si="20"/>
        <v>0</v>
      </c>
      <c r="V8" s="3">
        <f t="shared" si="0"/>
        <v>0</v>
      </c>
      <c r="W8" s="3">
        <f t="shared" si="21"/>
        <v>0</v>
      </c>
      <c r="X8" s="4">
        <f t="shared" si="22"/>
        <v>0</v>
      </c>
      <c r="Y8" s="4">
        <f t="shared" si="23"/>
        <v>0</v>
      </c>
      <c r="Z8" s="4">
        <f t="shared" si="24"/>
        <v>0</v>
      </c>
      <c r="AA8">
        <f t="shared" si="25"/>
        <v>0</v>
      </c>
      <c r="AB8">
        <f t="shared" si="26"/>
        <v>0</v>
      </c>
      <c r="AC8">
        <f t="shared" si="27"/>
        <v>0</v>
      </c>
      <c r="AD8">
        <f t="shared" si="28"/>
        <v>0</v>
      </c>
      <c r="AE8">
        <f t="shared" si="29"/>
        <v>0</v>
      </c>
      <c r="AF8">
        <f t="shared" si="30"/>
        <v>0</v>
      </c>
      <c r="AG8">
        <f t="shared" si="31"/>
        <v>0</v>
      </c>
      <c r="AH8">
        <f t="shared" si="32"/>
        <v>0</v>
      </c>
      <c r="AI8">
        <v>45</v>
      </c>
      <c r="AJ8" t="s">
        <v>136</v>
      </c>
      <c r="AQ8">
        <v>45</v>
      </c>
      <c r="AR8" t="s">
        <v>136</v>
      </c>
      <c r="AU8">
        <v>30</v>
      </c>
      <c r="AV8" t="s">
        <v>136</v>
      </c>
      <c r="AY8">
        <v>30</v>
      </c>
      <c r="AZ8" t="s">
        <v>136</v>
      </c>
      <c r="BC8">
        <v>20</v>
      </c>
      <c r="BD8" t="s">
        <v>136</v>
      </c>
      <c r="BG8">
        <v>45</v>
      </c>
      <c r="BH8" t="s">
        <v>136</v>
      </c>
      <c r="CZ8" t="s">
        <v>139</v>
      </c>
      <c r="DD8" t="s">
        <v>138</v>
      </c>
      <c r="DH8" t="s">
        <v>139</v>
      </c>
      <c r="DL8" t="s">
        <v>139</v>
      </c>
      <c r="DP8" t="s">
        <v>139</v>
      </c>
      <c r="DT8" t="s">
        <v>139</v>
      </c>
      <c r="DX8" t="s">
        <v>139</v>
      </c>
      <c r="EB8" t="s">
        <v>139</v>
      </c>
      <c r="EF8" t="s">
        <v>139</v>
      </c>
      <c r="EJ8" t="s">
        <v>139</v>
      </c>
      <c r="EN8" t="s">
        <v>138</v>
      </c>
      <c r="ER8" t="s">
        <v>139</v>
      </c>
      <c r="EV8" t="s">
        <v>139</v>
      </c>
      <c r="EZ8" t="s">
        <v>139</v>
      </c>
      <c r="FD8" t="s">
        <v>139</v>
      </c>
      <c r="FH8" t="s">
        <v>139</v>
      </c>
      <c r="FL8" t="s">
        <v>139</v>
      </c>
      <c r="FP8" t="s">
        <v>139</v>
      </c>
      <c r="FT8" t="s">
        <v>139</v>
      </c>
      <c r="FX8" t="s">
        <v>139</v>
      </c>
      <c r="GB8" t="s">
        <v>139</v>
      </c>
      <c r="GF8" t="s">
        <v>139</v>
      </c>
      <c r="GJ8" t="s">
        <v>139</v>
      </c>
      <c r="GN8" t="s">
        <v>139</v>
      </c>
      <c r="GR8" t="s">
        <v>139</v>
      </c>
      <c r="GY8">
        <v>11</v>
      </c>
      <c r="GZ8" t="s">
        <v>136</v>
      </c>
      <c r="HC8">
        <v>13</v>
      </c>
      <c r="HD8" t="s">
        <v>136</v>
      </c>
      <c r="HH8" t="s">
        <v>139</v>
      </c>
      <c r="HL8" t="s">
        <v>139</v>
      </c>
      <c r="HP8" t="s">
        <v>138</v>
      </c>
      <c r="HT8" t="s">
        <v>139</v>
      </c>
      <c r="HX8" t="s">
        <v>139</v>
      </c>
      <c r="IU8">
        <v>90</v>
      </c>
      <c r="IV8" t="s">
        <v>110</v>
      </c>
      <c r="IY8">
        <v>90</v>
      </c>
      <c r="IZ8" t="s">
        <v>110</v>
      </c>
      <c r="JC8">
        <v>90</v>
      </c>
      <c r="JD8" t="s">
        <v>110</v>
      </c>
      <c r="JS8">
        <v>90</v>
      </c>
      <c r="JT8" t="s">
        <v>110</v>
      </c>
      <c r="JW8">
        <v>90</v>
      </c>
      <c r="JX8" t="s">
        <v>110</v>
      </c>
      <c r="KA8">
        <v>90</v>
      </c>
      <c r="KB8" t="s">
        <v>110</v>
      </c>
      <c r="KE8">
        <v>90</v>
      </c>
      <c r="KF8" t="s">
        <v>110</v>
      </c>
      <c r="KM8">
        <v>90</v>
      </c>
      <c r="KN8" t="s">
        <v>110</v>
      </c>
      <c r="PS8" s="3">
        <f t="shared" si="33"/>
        <v>27</v>
      </c>
      <c r="PT8" s="3">
        <f t="shared" si="34"/>
        <v>23</v>
      </c>
      <c r="PU8" s="3">
        <f t="shared" si="35"/>
        <v>4</v>
      </c>
      <c r="PV8">
        <f t="shared" si="1"/>
        <v>0</v>
      </c>
      <c r="PW8">
        <f t="shared" si="36"/>
        <v>6</v>
      </c>
    </row>
    <row r="9" spans="1:439" x14ac:dyDescent="0.2">
      <c r="A9" s="2" t="s">
        <v>118</v>
      </c>
      <c r="B9">
        <f t="shared" si="37"/>
        <v>2722</v>
      </c>
      <c r="C9">
        <f t="shared" si="2"/>
        <v>1966</v>
      </c>
      <c r="D9">
        <f t="shared" si="3"/>
        <v>431</v>
      </c>
      <c r="E9">
        <f t="shared" si="4"/>
        <v>0</v>
      </c>
      <c r="F9">
        <f t="shared" si="5"/>
        <v>325</v>
      </c>
      <c r="G9">
        <f t="shared" si="6"/>
        <v>36</v>
      </c>
      <c r="H9" s="3">
        <f t="shared" si="7"/>
        <v>30</v>
      </c>
      <c r="I9" s="3">
        <f t="shared" si="8"/>
        <v>6</v>
      </c>
      <c r="J9" s="3">
        <f t="shared" si="9"/>
        <v>0</v>
      </c>
      <c r="K9">
        <f t="shared" si="10"/>
        <v>24</v>
      </c>
      <c r="L9" s="3">
        <f t="shared" si="11"/>
        <v>21</v>
      </c>
      <c r="M9" s="3">
        <f t="shared" si="12"/>
        <v>3</v>
      </c>
      <c r="N9" s="3">
        <f t="shared" si="13"/>
        <v>0</v>
      </c>
      <c r="O9">
        <f t="shared" si="14"/>
        <v>6</v>
      </c>
      <c r="P9" s="3">
        <f t="shared" si="15"/>
        <v>4</v>
      </c>
      <c r="Q9" s="3">
        <f t="shared" si="16"/>
        <v>2</v>
      </c>
      <c r="R9" s="3">
        <f t="shared" si="17"/>
        <v>0</v>
      </c>
      <c r="S9">
        <f t="shared" si="18"/>
        <v>0</v>
      </c>
      <c r="T9" s="3">
        <f t="shared" si="19"/>
        <v>0</v>
      </c>
      <c r="U9" s="3">
        <f t="shared" si="20"/>
        <v>0</v>
      </c>
      <c r="V9" s="3">
        <f t="shared" si="0"/>
        <v>0</v>
      </c>
      <c r="W9" s="3">
        <f t="shared" si="21"/>
        <v>1</v>
      </c>
      <c r="X9" s="4">
        <f t="shared" si="22"/>
        <v>1</v>
      </c>
      <c r="Y9" s="4">
        <f t="shared" si="23"/>
        <v>4</v>
      </c>
      <c r="Z9" s="4">
        <f t="shared" si="24"/>
        <v>3</v>
      </c>
      <c r="AA9">
        <f t="shared" si="25"/>
        <v>1</v>
      </c>
      <c r="AB9">
        <f t="shared" si="26"/>
        <v>1</v>
      </c>
      <c r="AC9">
        <f t="shared" si="27"/>
        <v>0</v>
      </c>
      <c r="AD9">
        <f t="shared" si="28"/>
        <v>2</v>
      </c>
      <c r="AE9">
        <f t="shared" si="29"/>
        <v>0</v>
      </c>
      <c r="AF9">
        <f t="shared" si="30"/>
        <v>1</v>
      </c>
      <c r="AG9">
        <f t="shared" si="31"/>
        <v>0</v>
      </c>
      <c r="AH9">
        <f t="shared" si="32"/>
        <v>0</v>
      </c>
      <c r="AI9">
        <v>45</v>
      </c>
      <c r="AJ9" t="s">
        <v>110</v>
      </c>
      <c r="AM9">
        <v>45</v>
      </c>
      <c r="AN9" t="s">
        <v>136</v>
      </c>
      <c r="AQ9">
        <v>45</v>
      </c>
      <c r="AR9" t="s">
        <v>110</v>
      </c>
      <c r="AU9">
        <v>60</v>
      </c>
      <c r="AV9" t="s">
        <v>110</v>
      </c>
      <c r="AX9">
        <v>1</v>
      </c>
      <c r="AY9">
        <v>60</v>
      </c>
      <c r="AZ9" t="s">
        <v>110</v>
      </c>
      <c r="BC9">
        <v>70</v>
      </c>
      <c r="BD9" t="s">
        <v>110</v>
      </c>
      <c r="BH9" t="s">
        <v>139</v>
      </c>
      <c r="CY9">
        <v>90</v>
      </c>
      <c r="CZ9" t="s">
        <v>110</v>
      </c>
      <c r="DC9">
        <v>90</v>
      </c>
      <c r="DD9" t="s">
        <v>110</v>
      </c>
      <c r="DG9">
        <v>90</v>
      </c>
      <c r="DH9" t="s">
        <v>110</v>
      </c>
      <c r="DK9">
        <v>90</v>
      </c>
      <c r="DL9" t="s">
        <v>110</v>
      </c>
      <c r="DO9">
        <v>90</v>
      </c>
      <c r="DP9" t="s">
        <v>110</v>
      </c>
      <c r="DS9">
        <v>90</v>
      </c>
      <c r="DT9" t="s">
        <v>110</v>
      </c>
      <c r="DW9">
        <v>76</v>
      </c>
      <c r="DX9" t="s">
        <v>110</v>
      </c>
      <c r="EA9">
        <v>90</v>
      </c>
      <c r="EB9" t="s">
        <v>110</v>
      </c>
      <c r="EE9">
        <v>90</v>
      </c>
      <c r="EF9" t="s">
        <v>110</v>
      </c>
      <c r="EI9">
        <v>90</v>
      </c>
      <c r="EJ9" t="s">
        <v>110</v>
      </c>
      <c r="EM9">
        <v>5</v>
      </c>
      <c r="EN9" t="s">
        <v>136</v>
      </c>
      <c r="ER9" t="s">
        <v>139</v>
      </c>
      <c r="EU9">
        <v>85</v>
      </c>
      <c r="EV9" t="s">
        <v>110</v>
      </c>
      <c r="EY9">
        <v>90</v>
      </c>
      <c r="EZ9" t="s">
        <v>110</v>
      </c>
      <c r="FC9">
        <v>45</v>
      </c>
      <c r="FD9" t="s">
        <v>136</v>
      </c>
      <c r="FG9">
        <v>90</v>
      </c>
      <c r="FH9" t="s">
        <v>110</v>
      </c>
      <c r="FK9">
        <v>90</v>
      </c>
      <c r="FL9" t="s">
        <v>110</v>
      </c>
      <c r="FO9">
        <v>90</v>
      </c>
      <c r="FP9" t="s">
        <v>110</v>
      </c>
      <c r="FS9">
        <v>90</v>
      </c>
      <c r="FT9" t="s">
        <v>110</v>
      </c>
      <c r="FW9">
        <v>90</v>
      </c>
      <c r="FX9" t="s">
        <v>110</v>
      </c>
      <c r="FZ9">
        <v>1</v>
      </c>
      <c r="GA9">
        <v>90</v>
      </c>
      <c r="GB9" t="s">
        <v>110</v>
      </c>
      <c r="GE9">
        <v>90</v>
      </c>
      <c r="GF9" t="s">
        <v>110</v>
      </c>
      <c r="GI9">
        <v>90</v>
      </c>
      <c r="GJ9" t="s">
        <v>110</v>
      </c>
      <c r="GM9">
        <v>45</v>
      </c>
      <c r="GN9" t="s">
        <v>136</v>
      </c>
      <c r="GO9">
        <v>1</v>
      </c>
      <c r="GQ9">
        <v>90</v>
      </c>
      <c r="GR9" t="s">
        <v>110</v>
      </c>
      <c r="HC9">
        <v>45</v>
      </c>
      <c r="HD9" t="s">
        <v>136</v>
      </c>
      <c r="HG9">
        <v>90</v>
      </c>
      <c r="HH9" t="s">
        <v>110</v>
      </c>
      <c r="HK9">
        <v>26</v>
      </c>
      <c r="HL9" t="s">
        <v>136</v>
      </c>
      <c r="HN9">
        <v>1</v>
      </c>
      <c r="HO9">
        <v>90</v>
      </c>
      <c r="HP9" t="s">
        <v>110</v>
      </c>
      <c r="HR9">
        <v>1</v>
      </c>
      <c r="HS9">
        <v>90</v>
      </c>
      <c r="HT9" t="s">
        <v>110</v>
      </c>
      <c r="HW9">
        <v>90</v>
      </c>
      <c r="HX9" t="s">
        <v>110</v>
      </c>
      <c r="PS9" s="3">
        <f t="shared" si="33"/>
        <v>2</v>
      </c>
      <c r="PT9" s="3">
        <f t="shared" si="34"/>
        <v>1</v>
      </c>
      <c r="PU9" s="3">
        <f t="shared" si="35"/>
        <v>0</v>
      </c>
      <c r="PV9">
        <f t="shared" si="1"/>
        <v>0</v>
      </c>
      <c r="PW9">
        <f t="shared" si="36"/>
        <v>6</v>
      </c>
    </row>
    <row r="10" spans="1:439" x14ac:dyDescent="0.2">
      <c r="A10" s="2" t="s">
        <v>119</v>
      </c>
      <c r="B10">
        <f t="shared" si="37"/>
        <v>1923</v>
      </c>
      <c r="C10">
        <f t="shared" si="2"/>
        <v>1323</v>
      </c>
      <c r="D10">
        <f t="shared" si="3"/>
        <v>170</v>
      </c>
      <c r="E10">
        <f t="shared" si="4"/>
        <v>135</v>
      </c>
      <c r="F10">
        <f t="shared" si="5"/>
        <v>295</v>
      </c>
      <c r="G10">
        <f t="shared" si="6"/>
        <v>28</v>
      </c>
      <c r="H10" s="3">
        <f t="shared" si="7"/>
        <v>20</v>
      </c>
      <c r="I10" s="3">
        <f t="shared" si="8"/>
        <v>8</v>
      </c>
      <c r="J10" s="3">
        <f t="shared" si="9"/>
        <v>3</v>
      </c>
      <c r="K10">
        <f t="shared" si="10"/>
        <v>17</v>
      </c>
      <c r="L10" s="3">
        <f t="shared" si="11"/>
        <v>15</v>
      </c>
      <c r="M10" s="3">
        <f t="shared" si="12"/>
        <v>2</v>
      </c>
      <c r="N10" s="3">
        <f t="shared" si="13"/>
        <v>2</v>
      </c>
      <c r="O10">
        <f t="shared" si="14"/>
        <v>3</v>
      </c>
      <c r="P10" s="3">
        <f t="shared" si="15"/>
        <v>1</v>
      </c>
      <c r="Q10" s="3">
        <f t="shared" si="16"/>
        <v>2</v>
      </c>
      <c r="R10" s="3">
        <f t="shared" si="17"/>
        <v>1</v>
      </c>
      <c r="S10">
        <f t="shared" si="18"/>
        <v>2</v>
      </c>
      <c r="T10" s="3">
        <f t="shared" si="19"/>
        <v>2</v>
      </c>
      <c r="U10" s="3">
        <f t="shared" si="20"/>
        <v>0</v>
      </c>
      <c r="V10" s="3">
        <f t="shared" si="0"/>
        <v>0</v>
      </c>
      <c r="W10" s="3">
        <f t="shared" si="21"/>
        <v>2</v>
      </c>
      <c r="X10" s="4">
        <f t="shared" si="22"/>
        <v>2</v>
      </c>
      <c r="Y10" s="4">
        <f t="shared" si="23"/>
        <v>1</v>
      </c>
      <c r="Z10" s="4">
        <f t="shared" si="24"/>
        <v>1</v>
      </c>
      <c r="AA10">
        <f t="shared" si="25"/>
        <v>0</v>
      </c>
      <c r="AB10">
        <f t="shared" si="26"/>
        <v>1</v>
      </c>
      <c r="AC10">
        <f t="shared" si="27"/>
        <v>2</v>
      </c>
      <c r="AD10">
        <f t="shared" si="28"/>
        <v>0</v>
      </c>
      <c r="AE10">
        <f t="shared" si="29"/>
        <v>0</v>
      </c>
      <c r="AF10">
        <f t="shared" si="30"/>
        <v>0</v>
      </c>
      <c r="AG10">
        <f t="shared" si="31"/>
        <v>0</v>
      </c>
      <c r="AH10">
        <f t="shared" si="32"/>
        <v>0</v>
      </c>
      <c r="AI10">
        <v>45</v>
      </c>
      <c r="AJ10" t="s">
        <v>136</v>
      </c>
      <c r="AM10">
        <v>45</v>
      </c>
      <c r="AN10" t="s">
        <v>136</v>
      </c>
      <c r="AQ10">
        <v>45</v>
      </c>
      <c r="AR10" t="s">
        <v>110</v>
      </c>
      <c r="AU10">
        <v>45</v>
      </c>
      <c r="AV10" t="s">
        <v>136</v>
      </c>
      <c r="AY10">
        <v>45</v>
      </c>
      <c r="AZ10" t="s">
        <v>136</v>
      </c>
      <c r="BC10">
        <v>70</v>
      </c>
      <c r="BD10" t="s">
        <v>110</v>
      </c>
      <c r="BH10" t="s">
        <v>139</v>
      </c>
      <c r="CY10">
        <v>81</v>
      </c>
      <c r="CZ10" t="s">
        <v>110</v>
      </c>
      <c r="DD10" t="s">
        <v>139</v>
      </c>
      <c r="DH10" t="s">
        <v>139</v>
      </c>
      <c r="DL10" t="s">
        <v>139</v>
      </c>
      <c r="DP10" t="s">
        <v>139</v>
      </c>
      <c r="DT10" t="s">
        <v>139</v>
      </c>
      <c r="DW10">
        <v>39</v>
      </c>
      <c r="DX10" t="s">
        <v>136</v>
      </c>
      <c r="EB10" t="s">
        <v>138</v>
      </c>
      <c r="EE10">
        <v>15</v>
      </c>
      <c r="EF10" t="s">
        <v>136</v>
      </c>
      <c r="EJ10" t="s">
        <v>138</v>
      </c>
      <c r="EM10">
        <v>79</v>
      </c>
      <c r="EN10" t="s">
        <v>110</v>
      </c>
      <c r="EQ10">
        <v>90</v>
      </c>
      <c r="ER10" t="s">
        <v>110</v>
      </c>
      <c r="EU10">
        <v>67</v>
      </c>
      <c r="EV10" t="s">
        <v>110</v>
      </c>
      <c r="EY10">
        <v>90</v>
      </c>
      <c r="EZ10" t="s">
        <v>110</v>
      </c>
      <c r="FC10">
        <v>90</v>
      </c>
      <c r="FD10" t="s">
        <v>110</v>
      </c>
      <c r="FG10">
        <v>90</v>
      </c>
      <c r="FH10" t="s">
        <v>110</v>
      </c>
      <c r="FK10">
        <v>90</v>
      </c>
      <c r="FL10" t="s">
        <v>110</v>
      </c>
      <c r="FN10">
        <v>1</v>
      </c>
      <c r="FO10">
        <v>90</v>
      </c>
      <c r="FP10" t="s">
        <v>110</v>
      </c>
      <c r="FS10">
        <v>90</v>
      </c>
      <c r="FT10" t="s">
        <v>110</v>
      </c>
      <c r="FX10" t="s">
        <v>139</v>
      </c>
      <c r="GA10">
        <v>90</v>
      </c>
      <c r="GB10" t="s">
        <v>110</v>
      </c>
      <c r="GE10">
        <v>73</v>
      </c>
      <c r="GF10" t="s">
        <v>110</v>
      </c>
      <c r="GI10">
        <v>90</v>
      </c>
      <c r="GJ10" t="s">
        <v>110</v>
      </c>
      <c r="GM10">
        <v>74</v>
      </c>
      <c r="GN10" t="s">
        <v>110</v>
      </c>
      <c r="GQ10">
        <v>85</v>
      </c>
      <c r="GR10" t="s">
        <v>110</v>
      </c>
      <c r="HD10" t="s">
        <v>139</v>
      </c>
      <c r="HH10" t="s">
        <v>139</v>
      </c>
      <c r="HK10">
        <v>45</v>
      </c>
      <c r="HL10" t="s">
        <v>136</v>
      </c>
      <c r="HM10">
        <v>1</v>
      </c>
      <c r="HO10">
        <v>35</v>
      </c>
      <c r="HP10" t="s">
        <v>136</v>
      </c>
      <c r="HQ10">
        <v>1</v>
      </c>
      <c r="HT10" t="s">
        <v>138</v>
      </c>
      <c r="HW10">
        <v>90</v>
      </c>
      <c r="HX10" t="s">
        <v>110</v>
      </c>
      <c r="JC10">
        <v>45</v>
      </c>
      <c r="JD10" t="s">
        <v>110</v>
      </c>
      <c r="JG10">
        <v>90</v>
      </c>
      <c r="JH10" t="s">
        <v>110</v>
      </c>
      <c r="PS10" s="3">
        <f t="shared" si="33"/>
        <v>9</v>
      </c>
      <c r="PT10" s="3">
        <f t="shared" si="34"/>
        <v>6</v>
      </c>
      <c r="PU10" s="3">
        <f t="shared" si="35"/>
        <v>2</v>
      </c>
      <c r="PV10">
        <f t="shared" si="1"/>
        <v>0</v>
      </c>
      <c r="PW10">
        <f t="shared" si="36"/>
        <v>6</v>
      </c>
    </row>
    <row r="11" spans="1:439" x14ac:dyDescent="0.2">
      <c r="A11" s="2" t="s">
        <v>120</v>
      </c>
      <c r="B11">
        <f t="shared" si="37"/>
        <v>1268</v>
      </c>
      <c r="C11">
        <f t="shared" si="2"/>
        <v>350</v>
      </c>
      <c r="D11">
        <f t="shared" si="3"/>
        <v>209</v>
      </c>
      <c r="E11">
        <f t="shared" si="4"/>
        <v>464</v>
      </c>
      <c r="F11">
        <f t="shared" si="5"/>
        <v>245</v>
      </c>
      <c r="G11">
        <f t="shared" si="6"/>
        <v>27</v>
      </c>
      <c r="H11" s="3">
        <f t="shared" si="7"/>
        <v>18</v>
      </c>
      <c r="I11" s="3">
        <f t="shared" si="8"/>
        <v>9</v>
      </c>
      <c r="J11" s="3">
        <f t="shared" si="9"/>
        <v>3</v>
      </c>
      <c r="K11">
        <f t="shared" si="10"/>
        <v>12</v>
      </c>
      <c r="L11" s="3">
        <f t="shared" si="11"/>
        <v>4</v>
      </c>
      <c r="M11" s="3">
        <f t="shared" si="12"/>
        <v>8</v>
      </c>
      <c r="N11" s="3">
        <f t="shared" si="13"/>
        <v>1</v>
      </c>
      <c r="O11">
        <f t="shared" si="14"/>
        <v>3</v>
      </c>
      <c r="P11" s="3">
        <f t="shared" si="15"/>
        <v>3</v>
      </c>
      <c r="Q11" s="3">
        <f t="shared" si="16"/>
        <v>0</v>
      </c>
      <c r="R11" s="3">
        <f t="shared" si="17"/>
        <v>2</v>
      </c>
      <c r="S11">
        <f t="shared" si="18"/>
        <v>6</v>
      </c>
      <c r="T11" s="3">
        <f t="shared" si="19"/>
        <v>6</v>
      </c>
      <c r="U11" s="3">
        <f t="shared" si="20"/>
        <v>0</v>
      </c>
      <c r="V11" s="3">
        <f t="shared" si="0"/>
        <v>0</v>
      </c>
      <c r="W11" s="3">
        <f t="shared" si="21"/>
        <v>0</v>
      </c>
      <c r="X11" s="4">
        <f t="shared" si="22"/>
        <v>0</v>
      </c>
      <c r="Y11" s="4">
        <f t="shared" si="23"/>
        <v>0</v>
      </c>
      <c r="Z11" s="4">
        <f t="shared" si="24"/>
        <v>0</v>
      </c>
      <c r="AA11">
        <f t="shared" si="25"/>
        <v>0</v>
      </c>
      <c r="AB11">
        <f t="shared" si="26"/>
        <v>0</v>
      </c>
      <c r="AC11">
        <f t="shared" si="27"/>
        <v>0</v>
      </c>
      <c r="AD11">
        <f t="shared" si="28"/>
        <v>0</v>
      </c>
      <c r="AE11">
        <f t="shared" si="29"/>
        <v>0</v>
      </c>
      <c r="AF11">
        <f t="shared" si="30"/>
        <v>0</v>
      </c>
      <c r="AG11">
        <f t="shared" si="31"/>
        <v>0</v>
      </c>
      <c r="AH11">
        <f t="shared" si="32"/>
        <v>0</v>
      </c>
      <c r="AI11">
        <v>45</v>
      </c>
      <c r="AJ11" t="s">
        <v>110</v>
      </c>
      <c r="AM11">
        <v>45</v>
      </c>
      <c r="AN11" t="s">
        <v>110</v>
      </c>
      <c r="AU11">
        <v>45</v>
      </c>
      <c r="AV11" t="s">
        <v>110</v>
      </c>
      <c r="AY11">
        <v>45</v>
      </c>
      <c r="AZ11" t="s">
        <v>110</v>
      </c>
      <c r="BC11">
        <v>20</v>
      </c>
      <c r="BD11" t="s">
        <v>136</v>
      </c>
      <c r="BG11">
        <v>45</v>
      </c>
      <c r="BH11" t="s">
        <v>110</v>
      </c>
      <c r="CY11">
        <v>9</v>
      </c>
      <c r="CZ11" t="s">
        <v>136</v>
      </c>
      <c r="DC11">
        <v>78</v>
      </c>
      <c r="DD11" t="s">
        <v>110</v>
      </c>
      <c r="DG11">
        <v>90</v>
      </c>
      <c r="DH11" t="s">
        <v>110</v>
      </c>
      <c r="DK11">
        <v>66</v>
      </c>
      <c r="DL11" t="s">
        <v>110</v>
      </c>
      <c r="DO11">
        <v>40</v>
      </c>
      <c r="DP11" t="s">
        <v>110</v>
      </c>
      <c r="DT11" t="s">
        <v>138</v>
      </c>
      <c r="DW11">
        <v>14</v>
      </c>
      <c r="DX11" t="s">
        <v>136</v>
      </c>
      <c r="EA11">
        <v>13</v>
      </c>
      <c r="EB11" t="s">
        <v>136</v>
      </c>
      <c r="EF11" t="s">
        <v>139</v>
      </c>
      <c r="EJ11" t="s">
        <v>139</v>
      </c>
      <c r="EN11" t="s">
        <v>139</v>
      </c>
      <c r="ER11" t="s">
        <v>139</v>
      </c>
      <c r="EV11" t="s">
        <v>139</v>
      </c>
      <c r="EZ11" t="s">
        <v>139</v>
      </c>
      <c r="FD11" t="s">
        <v>139</v>
      </c>
      <c r="FH11" t="s">
        <v>139</v>
      </c>
      <c r="FL11" t="s">
        <v>139</v>
      </c>
      <c r="FP11" t="s">
        <v>139</v>
      </c>
      <c r="FT11" t="s">
        <v>139</v>
      </c>
      <c r="FW11">
        <v>1</v>
      </c>
      <c r="FX11" t="s">
        <v>136</v>
      </c>
      <c r="GB11" t="s">
        <v>139</v>
      </c>
      <c r="GE11">
        <v>17</v>
      </c>
      <c r="GF11" t="s">
        <v>136</v>
      </c>
      <c r="GI11">
        <v>1</v>
      </c>
      <c r="GJ11" t="s">
        <v>136</v>
      </c>
      <c r="GM11">
        <v>16</v>
      </c>
      <c r="GN11" t="s">
        <v>136</v>
      </c>
      <c r="GQ11">
        <v>5</v>
      </c>
      <c r="GR11" t="s">
        <v>136</v>
      </c>
      <c r="GY11">
        <v>90</v>
      </c>
      <c r="GZ11" t="s">
        <v>110</v>
      </c>
      <c r="HD11" t="s">
        <v>139</v>
      </c>
      <c r="HH11" t="s">
        <v>139</v>
      </c>
      <c r="HK11">
        <v>64</v>
      </c>
      <c r="HL11" t="s">
        <v>110</v>
      </c>
      <c r="HO11">
        <v>55</v>
      </c>
      <c r="HP11" t="s">
        <v>110</v>
      </c>
      <c r="HT11" t="s">
        <v>138</v>
      </c>
      <c r="HX11" t="s">
        <v>138</v>
      </c>
      <c r="JS11">
        <v>90</v>
      </c>
      <c r="JT11" t="s">
        <v>110</v>
      </c>
      <c r="KA11">
        <v>90</v>
      </c>
      <c r="KB11" t="s">
        <v>110</v>
      </c>
      <c r="KM11">
        <v>90</v>
      </c>
      <c r="KN11" t="s">
        <v>110</v>
      </c>
      <c r="KQ11">
        <v>90</v>
      </c>
      <c r="KR11" t="s">
        <v>110</v>
      </c>
      <c r="KU11">
        <v>90</v>
      </c>
      <c r="KV11" t="s">
        <v>110</v>
      </c>
      <c r="LC11">
        <v>14</v>
      </c>
      <c r="LD11" t="s">
        <v>110</v>
      </c>
      <c r="PS11" s="3">
        <f t="shared" si="33"/>
        <v>14</v>
      </c>
      <c r="PT11" s="3">
        <f t="shared" si="34"/>
        <v>12</v>
      </c>
      <c r="PU11" s="3">
        <f t="shared" si="35"/>
        <v>2</v>
      </c>
      <c r="PV11">
        <f t="shared" si="1"/>
        <v>0</v>
      </c>
      <c r="PW11">
        <f t="shared" si="36"/>
        <v>6</v>
      </c>
    </row>
    <row r="12" spans="1:439" x14ac:dyDescent="0.2">
      <c r="A12" s="2" t="s">
        <v>121</v>
      </c>
      <c r="B12">
        <f t="shared" si="37"/>
        <v>505</v>
      </c>
      <c r="C12">
        <f t="shared" si="2"/>
        <v>139</v>
      </c>
      <c r="D12">
        <f t="shared" si="3"/>
        <v>0</v>
      </c>
      <c r="E12">
        <f t="shared" si="4"/>
        <v>0</v>
      </c>
      <c r="F12">
        <f t="shared" si="5"/>
        <v>366</v>
      </c>
      <c r="G12">
        <f t="shared" si="6"/>
        <v>8</v>
      </c>
      <c r="H12" s="3">
        <f t="shared" si="7"/>
        <v>7</v>
      </c>
      <c r="I12" s="3">
        <f t="shared" si="8"/>
        <v>1</v>
      </c>
      <c r="J12" s="3">
        <f t="shared" si="9"/>
        <v>0</v>
      </c>
      <c r="K12">
        <f t="shared" si="10"/>
        <v>2</v>
      </c>
      <c r="L12" s="3">
        <f t="shared" si="11"/>
        <v>2</v>
      </c>
      <c r="M12" s="3">
        <f t="shared" si="12"/>
        <v>0</v>
      </c>
      <c r="N12" s="3">
        <f t="shared" si="13"/>
        <v>0</v>
      </c>
      <c r="O12">
        <f t="shared" si="14"/>
        <v>0</v>
      </c>
      <c r="P12" s="3">
        <f t="shared" si="15"/>
        <v>0</v>
      </c>
      <c r="Q12" s="3">
        <f t="shared" si="16"/>
        <v>0</v>
      </c>
      <c r="R12" s="3">
        <f t="shared" si="17"/>
        <v>0</v>
      </c>
      <c r="S12">
        <f t="shared" si="18"/>
        <v>0</v>
      </c>
      <c r="T12" s="3">
        <f t="shared" si="19"/>
        <v>0</v>
      </c>
      <c r="U12" s="3">
        <f t="shared" si="20"/>
        <v>0</v>
      </c>
      <c r="V12" s="3">
        <f t="shared" si="0"/>
        <v>0</v>
      </c>
      <c r="W12" s="3">
        <f t="shared" si="21"/>
        <v>0</v>
      </c>
      <c r="X12" s="4">
        <f t="shared" si="22"/>
        <v>0</v>
      </c>
      <c r="Y12" s="4">
        <f t="shared" si="23"/>
        <v>0</v>
      </c>
      <c r="Z12" s="4">
        <f t="shared" si="24"/>
        <v>0</v>
      </c>
      <c r="AA12">
        <f t="shared" si="25"/>
        <v>0</v>
      </c>
      <c r="AB12">
        <f t="shared" si="26"/>
        <v>0</v>
      </c>
      <c r="AC12">
        <f t="shared" si="27"/>
        <v>0</v>
      </c>
      <c r="AD12">
        <f t="shared" si="28"/>
        <v>0</v>
      </c>
      <c r="AE12">
        <f t="shared" si="29"/>
        <v>0</v>
      </c>
      <c r="AF12">
        <f t="shared" si="30"/>
        <v>0</v>
      </c>
      <c r="AG12">
        <f t="shared" si="31"/>
        <v>0</v>
      </c>
      <c r="AH12">
        <f t="shared" si="32"/>
        <v>0</v>
      </c>
      <c r="AI12">
        <v>70</v>
      </c>
      <c r="AJ12" t="s">
        <v>110</v>
      </c>
      <c r="AM12">
        <v>45</v>
      </c>
      <c r="AN12" t="s">
        <v>110</v>
      </c>
      <c r="AQ12">
        <v>45</v>
      </c>
      <c r="AR12" t="s">
        <v>136</v>
      </c>
      <c r="AU12">
        <v>60</v>
      </c>
      <c r="AV12" t="s">
        <v>110</v>
      </c>
      <c r="AY12">
        <v>70</v>
      </c>
      <c r="AZ12" t="s">
        <v>110</v>
      </c>
      <c r="BC12">
        <v>76</v>
      </c>
      <c r="BD12" t="s">
        <v>110</v>
      </c>
      <c r="CY12">
        <v>90</v>
      </c>
      <c r="CZ12" t="s">
        <v>110</v>
      </c>
      <c r="DC12">
        <v>49</v>
      </c>
      <c r="DD12" t="s">
        <v>110</v>
      </c>
      <c r="DH12" t="s">
        <v>139</v>
      </c>
      <c r="DL12" t="s">
        <v>139</v>
      </c>
      <c r="DP12" t="s">
        <v>139</v>
      </c>
      <c r="DT12" t="s">
        <v>139</v>
      </c>
      <c r="DX12" t="s">
        <v>139</v>
      </c>
      <c r="EB12" t="s">
        <v>139</v>
      </c>
      <c r="EF12" t="s">
        <v>139</v>
      </c>
      <c r="PS12" s="3">
        <f t="shared" si="33"/>
        <v>7</v>
      </c>
      <c r="PT12" s="3">
        <f t="shared" si="34"/>
        <v>7</v>
      </c>
      <c r="PU12" s="3">
        <f t="shared" si="35"/>
        <v>0</v>
      </c>
      <c r="PV12">
        <f t="shared" si="1"/>
        <v>0</v>
      </c>
      <c r="PW12">
        <f t="shared" si="36"/>
        <v>6</v>
      </c>
    </row>
    <row r="13" spans="1:439" x14ac:dyDescent="0.2">
      <c r="A13" s="2" t="s">
        <v>122</v>
      </c>
      <c r="B13">
        <f t="shared" si="37"/>
        <v>395</v>
      </c>
      <c r="C13">
        <f t="shared" si="2"/>
        <v>155</v>
      </c>
      <c r="D13">
        <f t="shared" si="3"/>
        <v>0</v>
      </c>
      <c r="E13">
        <f t="shared" si="4"/>
        <v>0</v>
      </c>
      <c r="F13">
        <f t="shared" si="5"/>
        <v>240</v>
      </c>
      <c r="G13">
        <f t="shared" si="6"/>
        <v>7</v>
      </c>
      <c r="H13" s="3">
        <f t="shared" si="7"/>
        <v>6</v>
      </c>
      <c r="I13" s="3">
        <f t="shared" si="8"/>
        <v>1</v>
      </c>
      <c r="J13" s="3">
        <f t="shared" si="9"/>
        <v>0</v>
      </c>
      <c r="K13">
        <f t="shared" si="10"/>
        <v>2</v>
      </c>
      <c r="L13" s="3">
        <f t="shared" si="11"/>
        <v>2</v>
      </c>
      <c r="M13" s="3">
        <f t="shared" si="12"/>
        <v>0</v>
      </c>
      <c r="N13" s="3">
        <f t="shared" si="13"/>
        <v>0</v>
      </c>
      <c r="O13">
        <f t="shared" si="14"/>
        <v>0</v>
      </c>
      <c r="P13" s="3">
        <f t="shared" si="15"/>
        <v>0</v>
      </c>
      <c r="Q13" s="3">
        <f t="shared" si="16"/>
        <v>0</v>
      </c>
      <c r="R13" s="3">
        <f t="shared" si="17"/>
        <v>0</v>
      </c>
      <c r="S13">
        <f t="shared" si="18"/>
        <v>0</v>
      </c>
      <c r="T13" s="3">
        <f t="shared" si="19"/>
        <v>0</v>
      </c>
      <c r="U13" s="3">
        <f t="shared" si="20"/>
        <v>0</v>
      </c>
      <c r="V13" s="3">
        <f t="shared" si="0"/>
        <v>0</v>
      </c>
      <c r="W13" s="3">
        <f t="shared" si="21"/>
        <v>0</v>
      </c>
      <c r="X13" s="4">
        <f t="shared" si="22"/>
        <v>0</v>
      </c>
      <c r="Y13" s="4">
        <f t="shared" si="23"/>
        <v>0</v>
      </c>
      <c r="Z13" s="4">
        <f t="shared" si="24"/>
        <v>0</v>
      </c>
      <c r="AA13">
        <f t="shared" si="25"/>
        <v>0</v>
      </c>
      <c r="AB13">
        <f t="shared" si="26"/>
        <v>0</v>
      </c>
      <c r="AC13">
        <f t="shared" si="27"/>
        <v>0</v>
      </c>
      <c r="AD13">
        <f t="shared" si="28"/>
        <v>0</v>
      </c>
      <c r="AE13">
        <f t="shared" si="29"/>
        <v>0</v>
      </c>
      <c r="AF13">
        <f t="shared" si="30"/>
        <v>0</v>
      </c>
      <c r="AG13">
        <f t="shared" si="31"/>
        <v>0</v>
      </c>
      <c r="AH13">
        <f t="shared" si="32"/>
        <v>0</v>
      </c>
      <c r="AM13">
        <v>30</v>
      </c>
      <c r="AN13" t="s">
        <v>136</v>
      </c>
      <c r="AQ13">
        <v>45</v>
      </c>
      <c r="AR13" t="s">
        <v>110</v>
      </c>
      <c r="AU13">
        <v>45</v>
      </c>
      <c r="AV13" t="s">
        <v>110</v>
      </c>
      <c r="AY13">
        <v>60</v>
      </c>
      <c r="AZ13" t="s">
        <v>110</v>
      </c>
      <c r="BC13">
        <v>60</v>
      </c>
      <c r="BD13" t="s">
        <v>110</v>
      </c>
      <c r="BH13" t="s">
        <v>139</v>
      </c>
      <c r="CZ13" t="s">
        <v>139</v>
      </c>
      <c r="DC13">
        <v>65</v>
      </c>
      <c r="DD13" t="s">
        <v>110</v>
      </c>
      <c r="DG13">
        <v>90</v>
      </c>
      <c r="DH13" t="s">
        <v>110</v>
      </c>
      <c r="DL13" t="s">
        <v>139</v>
      </c>
      <c r="DP13" t="s">
        <v>139</v>
      </c>
      <c r="DT13" t="s">
        <v>139</v>
      </c>
      <c r="DX13" t="s">
        <v>139</v>
      </c>
      <c r="EB13" t="s">
        <v>139</v>
      </c>
      <c r="EF13" t="s">
        <v>139</v>
      </c>
      <c r="EJ13" t="s">
        <v>139</v>
      </c>
      <c r="EN13" t="s">
        <v>139</v>
      </c>
      <c r="ER13" t="s">
        <v>139</v>
      </c>
      <c r="EV13" t="s">
        <v>139</v>
      </c>
      <c r="EZ13" t="s">
        <v>139</v>
      </c>
      <c r="FD13" t="s">
        <v>139</v>
      </c>
      <c r="FH13" t="s">
        <v>139</v>
      </c>
      <c r="FL13" t="s">
        <v>139</v>
      </c>
      <c r="FP13" t="s">
        <v>139</v>
      </c>
      <c r="FT13" t="s">
        <v>139</v>
      </c>
      <c r="FX13" t="s">
        <v>139</v>
      </c>
      <c r="GB13" t="s">
        <v>139</v>
      </c>
      <c r="GF13" t="s">
        <v>139</v>
      </c>
      <c r="GJ13" t="s">
        <v>139</v>
      </c>
      <c r="GN13" t="s">
        <v>139</v>
      </c>
      <c r="GR13" t="s">
        <v>139</v>
      </c>
      <c r="HD13" t="s">
        <v>139</v>
      </c>
      <c r="HH13" t="s">
        <v>139</v>
      </c>
      <c r="HL13" t="s">
        <v>139</v>
      </c>
      <c r="HP13" t="s">
        <v>139</v>
      </c>
      <c r="HT13" t="s">
        <v>139</v>
      </c>
      <c r="HX13" t="s">
        <v>139</v>
      </c>
      <c r="PS13" s="3">
        <f t="shared" si="33"/>
        <v>30</v>
      </c>
      <c r="PT13" s="3">
        <f t="shared" si="34"/>
        <v>23</v>
      </c>
      <c r="PU13" s="3">
        <f t="shared" si="35"/>
        <v>6</v>
      </c>
      <c r="PV13">
        <f t="shared" si="1"/>
        <v>0</v>
      </c>
      <c r="PW13">
        <f t="shared" si="36"/>
        <v>5</v>
      </c>
    </row>
    <row r="14" spans="1:439" x14ac:dyDescent="0.2">
      <c r="A14" s="2" t="s">
        <v>123</v>
      </c>
      <c r="B14">
        <f t="shared" si="37"/>
        <v>2345</v>
      </c>
      <c r="C14">
        <f t="shared" si="2"/>
        <v>1247</v>
      </c>
      <c r="D14">
        <f t="shared" si="3"/>
        <v>483</v>
      </c>
      <c r="E14">
        <f t="shared" si="4"/>
        <v>270</v>
      </c>
      <c r="F14">
        <f t="shared" si="5"/>
        <v>345</v>
      </c>
      <c r="G14">
        <f t="shared" si="6"/>
        <v>39</v>
      </c>
      <c r="H14" s="3">
        <f t="shared" si="7"/>
        <v>25</v>
      </c>
      <c r="I14" s="3">
        <f t="shared" si="8"/>
        <v>14</v>
      </c>
      <c r="J14" s="3">
        <f t="shared" si="9"/>
        <v>2</v>
      </c>
      <c r="K14">
        <f t="shared" si="10"/>
        <v>22</v>
      </c>
      <c r="L14" s="3">
        <f t="shared" si="11"/>
        <v>14</v>
      </c>
      <c r="M14" s="3">
        <f t="shared" si="12"/>
        <v>8</v>
      </c>
      <c r="N14" s="3">
        <f t="shared" si="13"/>
        <v>2</v>
      </c>
      <c r="O14">
        <f t="shared" si="14"/>
        <v>7</v>
      </c>
      <c r="P14" s="3">
        <f t="shared" si="15"/>
        <v>5</v>
      </c>
      <c r="Q14" s="3">
        <f t="shared" si="16"/>
        <v>2</v>
      </c>
      <c r="R14" s="3">
        <f t="shared" si="17"/>
        <v>0</v>
      </c>
      <c r="S14">
        <f t="shared" si="18"/>
        <v>3</v>
      </c>
      <c r="T14" s="3">
        <f t="shared" si="19"/>
        <v>3</v>
      </c>
      <c r="U14" s="3">
        <f t="shared" si="20"/>
        <v>0</v>
      </c>
      <c r="V14" s="3">
        <f t="shared" si="0"/>
        <v>0</v>
      </c>
      <c r="W14" s="3">
        <f t="shared" si="21"/>
        <v>5</v>
      </c>
      <c r="X14" s="4">
        <f t="shared" si="22"/>
        <v>5</v>
      </c>
      <c r="Y14" s="4">
        <f t="shared" si="23"/>
        <v>5</v>
      </c>
      <c r="Z14" s="4">
        <f t="shared" si="24"/>
        <v>5</v>
      </c>
      <c r="AA14">
        <f t="shared" si="25"/>
        <v>4</v>
      </c>
      <c r="AB14">
        <f t="shared" si="26"/>
        <v>4</v>
      </c>
      <c r="AC14">
        <f t="shared" si="27"/>
        <v>1</v>
      </c>
      <c r="AD14">
        <f t="shared" si="28"/>
        <v>1</v>
      </c>
      <c r="AE14">
        <f t="shared" si="29"/>
        <v>0</v>
      </c>
      <c r="AF14">
        <f t="shared" si="30"/>
        <v>0</v>
      </c>
      <c r="AG14">
        <f t="shared" si="31"/>
        <v>0</v>
      </c>
      <c r="AH14">
        <f t="shared" si="32"/>
        <v>0</v>
      </c>
      <c r="AI14">
        <v>45</v>
      </c>
      <c r="AJ14" t="s">
        <v>110</v>
      </c>
      <c r="AM14">
        <v>45</v>
      </c>
      <c r="AN14" t="s">
        <v>136</v>
      </c>
      <c r="AQ14">
        <v>45</v>
      </c>
      <c r="AR14" t="s">
        <v>110</v>
      </c>
      <c r="AU14">
        <v>45</v>
      </c>
      <c r="AV14" t="s">
        <v>136</v>
      </c>
      <c r="AY14">
        <v>45</v>
      </c>
      <c r="AZ14" t="s">
        <v>136</v>
      </c>
      <c r="BC14">
        <v>30</v>
      </c>
      <c r="BD14" t="s">
        <v>136</v>
      </c>
      <c r="BG14">
        <v>90</v>
      </c>
      <c r="BH14" t="s">
        <v>110</v>
      </c>
      <c r="CY14">
        <v>90</v>
      </c>
      <c r="CZ14" t="s">
        <v>110</v>
      </c>
      <c r="DC14">
        <v>25</v>
      </c>
      <c r="DD14" t="s">
        <v>136</v>
      </c>
      <c r="DG14">
        <v>75</v>
      </c>
      <c r="DH14" t="s">
        <v>110</v>
      </c>
      <c r="DK14">
        <v>77</v>
      </c>
      <c r="DL14" t="s">
        <v>110</v>
      </c>
      <c r="DO14">
        <v>90</v>
      </c>
      <c r="DP14" t="s">
        <v>110</v>
      </c>
      <c r="DS14">
        <v>90</v>
      </c>
      <c r="DT14" t="s">
        <v>110</v>
      </c>
      <c r="DU14">
        <v>1</v>
      </c>
      <c r="DW14">
        <v>90</v>
      </c>
      <c r="DX14" t="s">
        <v>110</v>
      </c>
      <c r="DZ14">
        <v>1</v>
      </c>
      <c r="EB14" t="s">
        <v>139</v>
      </c>
      <c r="EE14">
        <v>82</v>
      </c>
      <c r="EF14" t="s">
        <v>110</v>
      </c>
      <c r="EH14">
        <v>1</v>
      </c>
      <c r="EI14">
        <v>89</v>
      </c>
      <c r="EJ14" t="s">
        <v>110</v>
      </c>
      <c r="EK14">
        <v>1</v>
      </c>
      <c r="EL14">
        <v>1</v>
      </c>
      <c r="EM14">
        <v>29</v>
      </c>
      <c r="EN14" t="s">
        <v>136</v>
      </c>
      <c r="EQ14">
        <v>57</v>
      </c>
      <c r="ER14" t="s">
        <v>110</v>
      </c>
      <c r="EU14">
        <v>45</v>
      </c>
      <c r="EV14" t="s">
        <v>110</v>
      </c>
      <c r="EY14">
        <v>1</v>
      </c>
      <c r="EZ14" t="s">
        <v>136</v>
      </c>
      <c r="FC14">
        <v>7</v>
      </c>
      <c r="FD14" t="s">
        <v>136</v>
      </c>
      <c r="FG14">
        <v>18</v>
      </c>
      <c r="FH14" t="s">
        <v>136</v>
      </c>
      <c r="FK14">
        <v>38</v>
      </c>
      <c r="FL14" t="s">
        <v>136</v>
      </c>
      <c r="FO14">
        <v>22</v>
      </c>
      <c r="FP14" t="s">
        <v>136</v>
      </c>
      <c r="FT14" t="s">
        <v>138</v>
      </c>
      <c r="FX14" t="s">
        <v>138</v>
      </c>
      <c r="GA14">
        <v>8</v>
      </c>
      <c r="GB14" t="s">
        <v>136</v>
      </c>
      <c r="GE14">
        <v>90</v>
      </c>
      <c r="GF14" t="s">
        <v>110</v>
      </c>
      <c r="GG14">
        <v>1</v>
      </c>
      <c r="GI14">
        <v>89</v>
      </c>
      <c r="GJ14" t="s">
        <v>110</v>
      </c>
      <c r="GK14">
        <v>1</v>
      </c>
      <c r="GL14">
        <v>1</v>
      </c>
      <c r="GM14">
        <v>90</v>
      </c>
      <c r="GN14" t="s">
        <v>110</v>
      </c>
      <c r="GQ14">
        <v>45</v>
      </c>
      <c r="GR14" t="s">
        <v>110</v>
      </c>
      <c r="GY14">
        <v>90</v>
      </c>
      <c r="GZ14" t="s">
        <v>110</v>
      </c>
      <c r="HC14">
        <v>90</v>
      </c>
      <c r="HD14" t="s">
        <v>110</v>
      </c>
      <c r="HG14">
        <v>45</v>
      </c>
      <c r="HH14" t="s">
        <v>136</v>
      </c>
      <c r="HI14">
        <v>1</v>
      </c>
      <c r="HK14">
        <v>90</v>
      </c>
      <c r="HL14" t="s">
        <v>110</v>
      </c>
      <c r="HN14">
        <v>1</v>
      </c>
      <c r="HO14">
        <v>90</v>
      </c>
      <c r="HP14" t="s">
        <v>110</v>
      </c>
      <c r="HS14">
        <v>75</v>
      </c>
      <c r="HT14" t="s">
        <v>110</v>
      </c>
      <c r="HW14">
        <v>3</v>
      </c>
      <c r="HX14" t="s">
        <v>136</v>
      </c>
      <c r="KU14">
        <v>90</v>
      </c>
      <c r="KV14" t="s">
        <v>110</v>
      </c>
      <c r="KY14">
        <v>90</v>
      </c>
      <c r="KZ14" t="s">
        <v>110</v>
      </c>
      <c r="LC14">
        <v>90</v>
      </c>
      <c r="LD14" t="s">
        <v>110</v>
      </c>
      <c r="PS14" s="3">
        <f t="shared" si="33"/>
        <v>1</v>
      </c>
      <c r="PT14" s="3">
        <f t="shared" si="34"/>
        <v>1</v>
      </c>
      <c r="PU14" s="3">
        <f t="shared" si="35"/>
        <v>0</v>
      </c>
      <c r="PV14">
        <f t="shared" si="1"/>
        <v>0</v>
      </c>
      <c r="PW14">
        <f t="shared" si="36"/>
        <v>7</v>
      </c>
    </row>
    <row r="15" spans="1:439" x14ac:dyDescent="0.2">
      <c r="A15" s="2" t="s">
        <v>124</v>
      </c>
      <c r="B15">
        <f t="shared" si="37"/>
        <v>1753</v>
      </c>
      <c r="C15">
        <f t="shared" si="2"/>
        <v>1016</v>
      </c>
      <c r="D15">
        <f t="shared" si="3"/>
        <v>197</v>
      </c>
      <c r="E15">
        <f t="shared" si="4"/>
        <v>180</v>
      </c>
      <c r="F15">
        <f t="shared" si="5"/>
        <v>360</v>
      </c>
      <c r="G15">
        <f t="shared" si="6"/>
        <v>37</v>
      </c>
      <c r="H15" s="3">
        <f t="shared" si="7"/>
        <v>21</v>
      </c>
      <c r="I15" s="3">
        <f t="shared" si="8"/>
        <v>16</v>
      </c>
      <c r="J15" s="3">
        <f t="shared" si="9"/>
        <v>0</v>
      </c>
      <c r="K15">
        <f t="shared" si="10"/>
        <v>23</v>
      </c>
      <c r="L15" s="3">
        <f t="shared" si="11"/>
        <v>11</v>
      </c>
      <c r="M15" s="3">
        <f t="shared" si="12"/>
        <v>12</v>
      </c>
      <c r="N15" s="3">
        <f t="shared" si="13"/>
        <v>0</v>
      </c>
      <c r="O15">
        <f t="shared" si="14"/>
        <v>5</v>
      </c>
      <c r="P15" s="3">
        <f t="shared" si="15"/>
        <v>3</v>
      </c>
      <c r="Q15" s="3">
        <f t="shared" si="16"/>
        <v>2</v>
      </c>
      <c r="R15" s="3">
        <f t="shared" si="17"/>
        <v>0</v>
      </c>
      <c r="S15">
        <f t="shared" si="18"/>
        <v>2</v>
      </c>
      <c r="T15" s="3">
        <f t="shared" si="19"/>
        <v>2</v>
      </c>
      <c r="U15" s="3">
        <f t="shared" si="20"/>
        <v>0</v>
      </c>
      <c r="V15" s="3">
        <f t="shared" si="0"/>
        <v>0</v>
      </c>
      <c r="W15" s="3">
        <f t="shared" si="21"/>
        <v>6</v>
      </c>
      <c r="X15" s="4">
        <f t="shared" si="22"/>
        <v>4</v>
      </c>
      <c r="Y15" s="4">
        <f t="shared" si="23"/>
        <v>4</v>
      </c>
      <c r="Z15" s="4">
        <f t="shared" si="24"/>
        <v>4</v>
      </c>
      <c r="AA15">
        <f t="shared" si="25"/>
        <v>4</v>
      </c>
      <c r="AB15">
        <f t="shared" si="26"/>
        <v>3</v>
      </c>
      <c r="AC15">
        <f t="shared" si="27"/>
        <v>0</v>
      </c>
      <c r="AD15">
        <f t="shared" si="28"/>
        <v>1</v>
      </c>
      <c r="AE15">
        <f t="shared" si="29"/>
        <v>2</v>
      </c>
      <c r="AF15">
        <f t="shared" si="30"/>
        <v>0</v>
      </c>
      <c r="AG15">
        <f t="shared" si="31"/>
        <v>0</v>
      </c>
      <c r="AH15">
        <f t="shared" si="32"/>
        <v>0</v>
      </c>
      <c r="AI15">
        <v>45</v>
      </c>
      <c r="AJ15" t="s">
        <v>136</v>
      </c>
      <c r="AM15">
        <v>45</v>
      </c>
      <c r="AN15" t="s">
        <v>110</v>
      </c>
      <c r="AQ15">
        <v>45</v>
      </c>
      <c r="AR15" t="s">
        <v>110</v>
      </c>
      <c r="AU15">
        <v>60</v>
      </c>
      <c r="AV15" t="s">
        <v>110</v>
      </c>
      <c r="AW15">
        <v>1</v>
      </c>
      <c r="AY15">
        <v>60</v>
      </c>
      <c r="AZ15" t="s">
        <v>110</v>
      </c>
      <c r="BC15">
        <v>60</v>
      </c>
      <c r="BD15" t="s">
        <v>110</v>
      </c>
      <c r="BE15">
        <v>1</v>
      </c>
      <c r="BG15">
        <v>45</v>
      </c>
      <c r="BH15" t="s">
        <v>136</v>
      </c>
      <c r="CY15">
        <v>76</v>
      </c>
      <c r="CZ15" t="s">
        <v>110</v>
      </c>
      <c r="DA15">
        <v>1</v>
      </c>
      <c r="DC15">
        <v>72</v>
      </c>
      <c r="DD15" t="s">
        <v>110</v>
      </c>
      <c r="DE15">
        <v>1</v>
      </c>
      <c r="DG15">
        <v>31</v>
      </c>
      <c r="DH15" t="s">
        <v>136</v>
      </c>
      <c r="DK15">
        <v>77</v>
      </c>
      <c r="DL15" t="s">
        <v>110</v>
      </c>
      <c r="DO15">
        <v>45</v>
      </c>
      <c r="DP15" t="s">
        <v>136</v>
      </c>
      <c r="DS15">
        <v>60</v>
      </c>
      <c r="DT15" t="s">
        <v>110</v>
      </c>
      <c r="DW15">
        <v>31</v>
      </c>
      <c r="DX15" t="s">
        <v>136</v>
      </c>
      <c r="EA15">
        <v>77</v>
      </c>
      <c r="EB15" t="s">
        <v>110</v>
      </c>
      <c r="EE15">
        <v>15</v>
      </c>
      <c r="EF15" t="s">
        <v>136</v>
      </c>
      <c r="EI15">
        <v>17</v>
      </c>
      <c r="EJ15" t="s">
        <v>136</v>
      </c>
      <c r="EM15">
        <v>90</v>
      </c>
      <c r="EN15" t="s">
        <v>110</v>
      </c>
      <c r="EO15">
        <v>1</v>
      </c>
      <c r="EQ15">
        <v>10</v>
      </c>
      <c r="ER15" t="s">
        <v>136</v>
      </c>
      <c r="EU15">
        <v>5</v>
      </c>
      <c r="EV15" t="s">
        <v>136</v>
      </c>
      <c r="EZ15" t="s">
        <v>139</v>
      </c>
      <c r="FC15">
        <v>45</v>
      </c>
      <c r="FD15" t="s">
        <v>110</v>
      </c>
      <c r="FG15">
        <v>8</v>
      </c>
      <c r="FH15" t="s">
        <v>136</v>
      </c>
      <c r="FK15">
        <v>45</v>
      </c>
      <c r="FL15" t="s">
        <v>110</v>
      </c>
      <c r="FP15" t="s">
        <v>139</v>
      </c>
      <c r="FS15">
        <v>19</v>
      </c>
      <c r="FT15" t="s">
        <v>136</v>
      </c>
      <c r="FW15">
        <v>11</v>
      </c>
      <c r="FX15" t="s">
        <v>136</v>
      </c>
      <c r="FZ15">
        <v>1</v>
      </c>
      <c r="GA15">
        <v>16</v>
      </c>
      <c r="GB15" t="s">
        <v>136</v>
      </c>
      <c r="GE15">
        <v>64</v>
      </c>
      <c r="GF15" t="s">
        <v>110</v>
      </c>
      <c r="GI15">
        <v>22</v>
      </c>
      <c r="GJ15" t="s">
        <v>136</v>
      </c>
      <c r="GL15">
        <v>1</v>
      </c>
      <c r="GM15">
        <v>90</v>
      </c>
      <c r="GN15" t="s">
        <v>110</v>
      </c>
      <c r="GO15">
        <v>1</v>
      </c>
      <c r="GP15">
        <v>1</v>
      </c>
      <c r="GQ15">
        <v>90</v>
      </c>
      <c r="GR15" t="s">
        <v>110</v>
      </c>
      <c r="GY15">
        <v>59</v>
      </c>
      <c r="GZ15" t="s">
        <v>110</v>
      </c>
      <c r="HD15" t="s">
        <v>139</v>
      </c>
      <c r="HG15">
        <v>45</v>
      </c>
      <c r="HH15" t="s">
        <v>110</v>
      </c>
      <c r="HK15">
        <v>26</v>
      </c>
      <c r="HL15" t="s">
        <v>136</v>
      </c>
      <c r="HN15">
        <v>1</v>
      </c>
      <c r="HP15" t="s">
        <v>139</v>
      </c>
      <c r="HS15">
        <v>66</v>
      </c>
      <c r="HT15" t="s">
        <v>110</v>
      </c>
      <c r="HW15">
        <v>1</v>
      </c>
      <c r="HX15" t="s">
        <v>136</v>
      </c>
      <c r="KE15">
        <v>90</v>
      </c>
      <c r="KF15" t="s">
        <v>110</v>
      </c>
      <c r="KQ15">
        <v>90</v>
      </c>
      <c r="KR15" t="s">
        <v>110</v>
      </c>
      <c r="PS15" s="3">
        <f t="shared" si="33"/>
        <v>4</v>
      </c>
      <c r="PT15" s="3">
        <f t="shared" si="34"/>
        <v>2</v>
      </c>
      <c r="PU15" s="3">
        <f t="shared" si="35"/>
        <v>2</v>
      </c>
      <c r="PV15">
        <f t="shared" si="1"/>
        <v>0</v>
      </c>
      <c r="PW15">
        <f t="shared" si="36"/>
        <v>7</v>
      </c>
    </row>
    <row r="16" spans="1:439" x14ac:dyDescent="0.2">
      <c r="A16" s="2" t="s">
        <v>125</v>
      </c>
      <c r="B16">
        <f t="shared" si="37"/>
        <v>1678</v>
      </c>
      <c r="C16">
        <f t="shared" si="2"/>
        <v>986</v>
      </c>
      <c r="D16">
        <f t="shared" si="3"/>
        <v>437</v>
      </c>
      <c r="E16">
        <f t="shared" si="4"/>
        <v>0</v>
      </c>
      <c r="F16">
        <f t="shared" si="5"/>
        <v>255</v>
      </c>
      <c r="G16">
        <f t="shared" si="6"/>
        <v>24</v>
      </c>
      <c r="H16" s="3">
        <f t="shared" si="7"/>
        <v>19</v>
      </c>
      <c r="I16" s="3">
        <f t="shared" si="8"/>
        <v>5</v>
      </c>
      <c r="J16" s="3">
        <f t="shared" si="9"/>
        <v>0</v>
      </c>
      <c r="K16">
        <f t="shared" si="10"/>
        <v>12</v>
      </c>
      <c r="L16" s="3">
        <f t="shared" si="11"/>
        <v>11</v>
      </c>
      <c r="M16" s="3">
        <f t="shared" si="12"/>
        <v>1</v>
      </c>
      <c r="N16" s="3">
        <f t="shared" si="13"/>
        <v>0</v>
      </c>
      <c r="O16">
        <f t="shared" si="14"/>
        <v>7</v>
      </c>
      <c r="P16" s="3">
        <f t="shared" si="15"/>
        <v>4</v>
      </c>
      <c r="Q16" s="3">
        <f t="shared" si="16"/>
        <v>3</v>
      </c>
      <c r="R16" s="3">
        <f t="shared" si="17"/>
        <v>0</v>
      </c>
      <c r="S16">
        <f t="shared" si="18"/>
        <v>0</v>
      </c>
      <c r="T16" s="3">
        <f t="shared" si="19"/>
        <v>0</v>
      </c>
      <c r="U16" s="3">
        <f t="shared" si="20"/>
        <v>0</v>
      </c>
      <c r="V16" s="3">
        <f t="shared" si="0"/>
        <v>0</v>
      </c>
      <c r="W16" s="3">
        <f t="shared" si="21"/>
        <v>11</v>
      </c>
      <c r="X16" s="4">
        <f t="shared" si="22"/>
        <v>11</v>
      </c>
      <c r="Y16" s="4">
        <f t="shared" si="23"/>
        <v>8</v>
      </c>
      <c r="Z16" s="4">
        <f t="shared" si="24"/>
        <v>7</v>
      </c>
      <c r="AA16">
        <f t="shared" si="25"/>
        <v>7</v>
      </c>
      <c r="AB16">
        <f t="shared" si="26"/>
        <v>5</v>
      </c>
      <c r="AC16">
        <f t="shared" si="27"/>
        <v>4</v>
      </c>
      <c r="AD16">
        <f t="shared" si="28"/>
        <v>2</v>
      </c>
      <c r="AE16">
        <f t="shared" si="29"/>
        <v>0</v>
      </c>
      <c r="AF16">
        <f t="shared" si="30"/>
        <v>1</v>
      </c>
      <c r="AG16">
        <f t="shared" si="31"/>
        <v>0</v>
      </c>
      <c r="AH16">
        <f t="shared" si="32"/>
        <v>0</v>
      </c>
      <c r="AM16">
        <v>45</v>
      </c>
      <c r="AN16" t="s">
        <v>136</v>
      </c>
      <c r="AP16">
        <v>1</v>
      </c>
      <c r="AQ16">
        <v>45</v>
      </c>
      <c r="AR16" t="s">
        <v>110</v>
      </c>
      <c r="AU16">
        <v>45</v>
      </c>
      <c r="AV16" t="s">
        <v>110</v>
      </c>
      <c r="AY16">
        <v>60</v>
      </c>
      <c r="AZ16" t="s">
        <v>110</v>
      </c>
      <c r="BC16">
        <v>60</v>
      </c>
      <c r="BD16" t="s">
        <v>110</v>
      </c>
      <c r="BH16" t="s">
        <v>139</v>
      </c>
      <c r="CY16">
        <v>90</v>
      </c>
      <c r="CZ16" t="s">
        <v>110</v>
      </c>
      <c r="DC16">
        <v>90</v>
      </c>
      <c r="DD16" t="s">
        <v>110</v>
      </c>
      <c r="DF16">
        <v>1</v>
      </c>
      <c r="DG16">
        <v>90</v>
      </c>
      <c r="DH16" t="s">
        <v>110</v>
      </c>
      <c r="DK16">
        <v>90</v>
      </c>
      <c r="DL16" t="s">
        <v>110</v>
      </c>
      <c r="DO16">
        <v>77</v>
      </c>
      <c r="DP16" t="s">
        <v>110</v>
      </c>
      <c r="DQ16">
        <v>2</v>
      </c>
      <c r="DR16">
        <v>1</v>
      </c>
      <c r="DS16">
        <v>88</v>
      </c>
      <c r="DT16" t="s">
        <v>110</v>
      </c>
      <c r="DV16">
        <v>1</v>
      </c>
      <c r="DW16">
        <v>76</v>
      </c>
      <c r="DX16" t="s">
        <v>110</v>
      </c>
      <c r="DY16">
        <v>2</v>
      </c>
      <c r="DZ16">
        <v>1</v>
      </c>
      <c r="EA16">
        <v>90</v>
      </c>
      <c r="EB16" t="s">
        <v>110</v>
      </c>
      <c r="EE16">
        <v>82</v>
      </c>
      <c r="EF16" t="s">
        <v>110</v>
      </c>
      <c r="EG16">
        <v>2</v>
      </c>
      <c r="EH16">
        <v>1</v>
      </c>
      <c r="EI16">
        <v>90</v>
      </c>
      <c r="EJ16" t="s">
        <v>110</v>
      </c>
      <c r="EQ16">
        <v>33</v>
      </c>
      <c r="ER16" t="s">
        <v>136</v>
      </c>
      <c r="EU16">
        <v>90</v>
      </c>
      <c r="EV16" t="s">
        <v>110</v>
      </c>
      <c r="EW16">
        <v>1</v>
      </c>
      <c r="GY16">
        <v>18</v>
      </c>
      <c r="GZ16" t="s">
        <v>136</v>
      </c>
      <c r="HA16">
        <v>1</v>
      </c>
      <c r="HC16">
        <v>90</v>
      </c>
      <c r="HD16" t="s">
        <v>110</v>
      </c>
      <c r="HF16">
        <v>1</v>
      </c>
      <c r="HG16">
        <v>45</v>
      </c>
      <c r="HH16" t="s">
        <v>136</v>
      </c>
      <c r="HK16">
        <v>26</v>
      </c>
      <c r="HL16" t="s">
        <v>136</v>
      </c>
      <c r="HM16">
        <v>1</v>
      </c>
      <c r="HO16">
        <v>80</v>
      </c>
      <c r="HP16" t="s">
        <v>110</v>
      </c>
      <c r="HQ16">
        <v>1</v>
      </c>
      <c r="HS16">
        <v>89</v>
      </c>
      <c r="HT16" t="s">
        <v>110</v>
      </c>
      <c r="HV16">
        <v>1</v>
      </c>
      <c r="HW16">
        <v>89</v>
      </c>
      <c r="HX16" t="s">
        <v>110</v>
      </c>
      <c r="HY16">
        <v>1</v>
      </c>
      <c r="PS16" s="3">
        <f t="shared" si="33"/>
        <v>1</v>
      </c>
      <c r="PT16" s="3">
        <f t="shared" si="34"/>
        <v>0</v>
      </c>
      <c r="PU16" s="3">
        <f t="shared" si="35"/>
        <v>0</v>
      </c>
      <c r="PV16">
        <f t="shared" si="1"/>
        <v>0</v>
      </c>
      <c r="PW16">
        <f t="shared" si="36"/>
        <v>5</v>
      </c>
    </row>
    <row r="17" spans="1:439" x14ac:dyDescent="0.2">
      <c r="A17" s="2" t="s">
        <v>126</v>
      </c>
      <c r="B17">
        <f t="shared" si="37"/>
        <v>505</v>
      </c>
      <c r="C17">
        <f t="shared" si="2"/>
        <v>60</v>
      </c>
      <c r="D17">
        <f t="shared" si="3"/>
        <v>130</v>
      </c>
      <c r="E17">
        <f t="shared" si="4"/>
        <v>90</v>
      </c>
      <c r="F17">
        <f t="shared" si="5"/>
        <v>225</v>
      </c>
      <c r="G17">
        <f t="shared" si="6"/>
        <v>16</v>
      </c>
      <c r="H17" s="3">
        <f t="shared" si="7"/>
        <v>6</v>
      </c>
      <c r="I17" s="3">
        <f t="shared" si="8"/>
        <v>10</v>
      </c>
      <c r="J17" s="3">
        <f t="shared" si="9"/>
        <v>0</v>
      </c>
      <c r="K17">
        <f t="shared" si="10"/>
        <v>6</v>
      </c>
      <c r="L17" s="3">
        <f t="shared" si="11"/>
        <v>0</v>
      </c>
      <c r="M17" s="3">
        <f t="shared" si="12"/>
        <v>6</v>
      </c>
      <c r="N17" s="3">
        <f t="shared" si="13"/>
        <v>0</v>
      </c>
      <c r="O17">
        <f t="shared" si="14"/>
        <v>4</v>
      </c>
      <c r="P17" s="3">
        <f t="shared" si="15"/>
        <v>2</v>
      </c>
      <c r="Q17" s="3">
        <f t="shared" si="16"/>
        <v>2</v>
      </c>
      <c r="R17" s="3">
        <f t="shared" si="17"/>
        <v>0</v>
      </c>
      <c r="S17">
        <f t="shared" si="18"/>
        <v>1</v>
      </c>
      <c r="T17" s="3">
        <f t="shared" si="19"/>
        <v>1</v>
      </c>
      <c r="U17" s="3">
        <f t="shared" si="20"/>
        <v>0</v>
      </c>
      <c r="V17" s="3">
        <f t="shared" si="0"/>
        <v>0</v>
      </c>
      <c r="W17" s="3">
        <f t="shared" si="21"/>
        <v>3</v>
      </c>
      <c r="X17" s="4">
        <f t="shared" si="22"/>
        <v>0</v>
      </c>
      <c r="Y17" s="4">
        <f t="shared" si="23"/>
        <v>1</v>
      </c>
      <c r="Z17" s="4">
        <f t="shared" si="24"/>
        <v>0</v>
      </c>
      <c r="AA17">
        <f t="shared" si="25"/>
        <v>0</v>
      </c>
      <c r="AB17">
        <f t="shared" si="26"/>
        <v>0</v>
      </c>
      <c r="AC17">
        <f t="shared" si="27"/>
        <v>0</v>
      </c>
      <c r="AD17">
        <f t="shared" si="28"/>
        <v>0</v>
      </c>
      <c r="AE17">
        <f t="shared" si="29"/>
        <v>3</v>
      </c>
      <c r="AF17">
        <f t="shared" si="30"/>
        <v>1</v>
      </c>
      <c r="AG17">
        <f t="shared" si="31"/>
        <v>0</v>
      </c>
      <c r="AH17">
        <f t="shared" si="32"/>
        <v>0</v>
      </c>
      <c r="AI17">
        <v>45</v>
      </c>
      <c r="AJ17" t="s">
        <v>110</v>
      </c>
      <c r="AM17">
        <v>45</v>
      </c>
      <c r="AN17" t="s">
        <v>136</v>
      </c>
      <c r="AO17">
        <v>1</v>
      </c>
      <c r="AQ17">
        <v>45</v>
      </c>
      <c r="AR17" t="s">
        <v>136</v>
      </c>
      <c r="BC17">
        <v>45</v>
      </c>
      <c r="BD17" t="s">
        <v>110</v>
      </c>
      <c r="BF17">
        <v>1</v>
      </c>
      <c r="BG17">
        <v>45</v>
      </c>
      <c r="BH17" t="s">
        <v>110</v>
      </c>
      <c r="BI17">
        <v>2</v>
      </c>
      <c r="CZ17" t="s">
        <v>139</v>
      </c>
      <c r="DD17" t="s">
        <v>139</v>
      </c>
      <c r="DH17" t="s">
        <v>139</v>
      </c>
      <c r="DK17">
        <v>13</v>
      </c>
      <c r="DL17" t="s">
        <v>136</v>
      </c>
      <c r="DO17">
        <v>13</v>
      </c>
      <c r="DP17" t="s">
        <v>136</v>
      </c>
      <c r="DT17" t="s">
        <v>139</v>
      </c>
      <c r="DW17">
        <v>14</v>
      </c>
      <c r="DX17" t="s">
        <v>136</v>
      </c>
      <c r="EA17">
        <v>2</v>
      </c>
      <c r="EB17" t="s">
        <v>136</v>
      </c>
      <c r="EE17">
        <v>8</v>
      </c>
      <c r="EF17" t="s">
        <v>136</v>
      </c>
      <c r="EJ17" t="s">
        <v>139</v>
      </c>
      <c r="EQ17">
        <v>10</v>
      </c>
      <c r="ER17" t="s">
        <v>136</v>
      </c>
      <c r="EV17" t="s">
        <v>139</v>
      </c>
      <c r="HC17">
        <v>58</v>
      </c>
      <c r="HD17" t="s">
        <v>110</v>
      </c>
      <c r="HH17" t="s">
        <v>139</v>
      </c>
      <c r="HL17" t="s">
        <v>139</v>
      </c>
      <c r="HO17">
        <v>70</v>
      </c>
      <c r="HP17" t="s">
        <v>110</v>
      </c>
      <c r="HS17">
        <v>1</v>
      </c>
      <c r="HT17" t="s">
        <v>136</v>
      </c>
      <c r="HW17">
        <v>1</v>
      </c>
      <c r="HX17" t="s">
        <v>136</v>
      </c>
      <c r="KA17">
        <v>90</v>
      </c>
      <c r="KB17" t="s">
        <v>110</v>
      </c>
      <c r="PS17" s="3">
        <f t="shared" si="33"/>
        <v>8</v>
      </c>
      <c r="PT17" s="3">
        <f t="shared" si="34"/>
        <v>6</v>
      </c>
      <c r="PU17" s="3">
        <f t="shared" si="35"/>
        <v>2</v>
      </c>
      <c r="PV17">
        <f t="shared" si="1"/>
        <v>0</v>
      </c>
      <c r="PW17">
        <f t="shared" si="36"/>
        <v>5</v>
      </c>
    </row>
    <row r="18" spans="1:439" x14ac:dyDescent="0.2">
      <c r="A18" s="2" t="s">
        <v>127</v>
      </c>
      <c r="B18">
        <f t="shared" si="37"/>
        <v>1751</v>
      </c>
      <c r="C18">
        <f t="shared" si="2"/>
        <v>1117</v>
      </c>
      <c r="D18">
        <f t="shared" si="3"/>
        <v>334</v>
      </c>
      <c r="E18">
        <f t="shared" si="4"/>
        <v>0</v>
      </c>
      <c r="F18">
        <f t="shared" si="5"/>
        <v>300</v>
      </c>
      <c r="G18">
        <f t="shared" si="6"/>
        <v>34</v>
      </c>
      <c r="H18" s="3">
        <f t="shared" si="7"/>
        <v>21</v>
      </c>
      <c r="I18" s="3">
        <f t="shared" si="8"/>
        <v>13</v>
      </c>
      <c r="J18" s="3">
        <f t="shared" si="9"/>
        <v>0</v>
      </c>
      <c r="K18">
        <f t="shared" si="10"/>
        <v>20</v>
      </c>
      <c r="L18" s="3">
        <f t="shared" si="11"/>
        <v>13</v>
      </c>
      <c r="M18" s="3">
        <f t="shared" si="12"/>
        <v>7</v>
      </c>
      <c r="N18" s="3">
        <f t="shared" si="13"/>
        <v>0</v>
      </c>
      <c r="O18">
        <f t="shared" si="14"/>
        <v>7</v>
      </c>
      <c r="P18" s="3">
        <f t="shared" si="15"/>
        <v>4</v>
      </c>
      <c r="Q18" s="3">
        <f t="shared" si="16"/>
        <v>3</v>
      </c>
      <c r="R18" s="3">
        <f t="shared" si="17"/>
        <v>0</v>
      </c>
      <c r="S18">
        <f t="shared" si="18"/>
        <v>0</v>
      </c>
      <c r="T18" s="3">
        <f t="shared" si="19"/>
        <v>0</v>
      </c>
      <c r="U18" s="3">
        <f t="shared" si="20"/>
        <v>0</v>
      </c>
      <c r="V18" s="3">
        <f t="shared" si="0"/>
        <v>0</v>
      </c>
      <c r="W18" s="3">
        <f t="shared" si="21"/>
        <v>5</v>
      </c>
      <c r="X18" s="4">
        <f t="shared" si="22"/>
        <v>5</v>
      </c>
      <c r="Y18" s="4">
        <f t="shared" si="23"/>
        <v>5</v>
      </c>
      <c r="Z18" s="4">
        <f t="shared" si="24"/>
        <v>2</v>
      </c>
      <c r="AA18">
        <f t="shared" si="25"/>
        <v>5</v>
      </c>
      <c r="AB18">
        <f t="shared" si="26"/>
        <v>0</v>
      </c>
      <c r="AC18">
        <f t="shared" si="27"/>
        <v>0</v>
      </c>
      <c r="AD18">
        <f t="shared" si="28"/>
        <v>2</v>
      </c>
      <c r="AE18">
        <f t="shared" si="29"/>
        <v>0</v>
      </c>
      <c r="AF18">
        <f t="shared" si="30"/>
        <v>3</v>
      </c>
      <c r="AG18">
        <f t="shared" si="31"/>
        <v>0</v>
      </c>
      <c r="AH18">
        <f t="shared" si="32"/>
        <v>0</v>
      </c>
      <c r="AI18">
        <v>45</v>
      </c>
      <c r="AJ18" t="s">
        <v>110</v>
      </c>
      <c r="AM18">
        <v>45</v>
      </c>
      <c r="AN18" t="s">
        <v>110</v>
      </c>
      <c r="AQ18">
        <v>45</v>
      </c>
      <c r="AR18" t="s">
        <v>136</v>
      </c>
      <c r="AT18">
        <v>1</v>
      </c>
      <c r="AU18">
        <v>45</v>
      </c>
      <c r="AV18" t="s">
        <v>136</v>
      </c>
      <c r="AY18">
        <v>45</v>
      </c>
      <c r="AZ18" t="s">
        <v>110</v>
      </c>
      <c r="BC18">
        <v>30</v>
      </c>
      <c r="BD18" t="s">
        <v>136</v>
      </c>
      <c r="BG18">
        <v>45</v>
      </c>
      <c r="BH18" t="s">
        <v>110</v>
      </c>
      <c r="BJ18">
        <v>2</v>
      </c>
      <c r="CZ18" t="s">
        <v>139</v>
      </c>
      <c r="DC18">
        <v>18</v>
      </c>
      <c r="DD18" t="s">
        <v>136</v>
      </c>
      <c r="DG18">
        <v>59</v>
      </c>
      <c r="DH18" t="s">
        <v>110</v>
      </c>
      <c r="DK18">
        <v>6</v>
      </c>
      <c r="DL18" t="s">
        <v>136</v>
      </c>
      <c r="DO18">
        <v>69</v>
      </c>
      <c r="DP18" t="s">
        <v>110</v>
      </c>
      <c r="DQ18">
        <v>1</v>
      </c>
      <c r="DS18">
        <v>30</v>
      </c>
      <c r="DT18" t="s">
        <v>136</v>
      </c>
      <c r="DW18">
        <v>59</v>
      </c>
      <c r="DX18" t="s">
        <v>110</v>
      </c>
      <c r="EB18" t="s">
        <v>139</v>
      </c>
      <c r="EE18">
        <v>65</v>
      </c>
      <c r="EF18" t="s">
        <v>110</v>
      </c>
      <c r="EI18">
        <v>73</v>
      </c>
      <c r="EJ18" t="s">
        <v>110</v>
      </c>
      <c r="EK18">
        <v>1</v>
      </c>
      <c r="EN18" t="s">
        <v>139</v>
      </c>
      <c r="EQ18">
        <v>80</v>
      </c>
      <c r="ER18" t="s">
        <v>110</v>
      </c>
      <c r="EU18">
        <v>60</v>
      </c>
      <c r="EV18" t="s">
        <v>110</v>
      </c>
      <c r="EY18">
        <v>27</v>
      </c>
      <c r="EZ18" t="s">
        <v>136</v>
      </c>
      <c r="FD18" t="s">
        <v>139</v>
      </c>
      <c r="FH18" t="s">
        <v>139</v>
      </c>
      <c r="FK18">
        <v>45</v>
      </c>
      <c r="FL18" t="s">
        <v>136</v>
      </c>
      <c r="FM18">
        <v>1</v>
      </c>
      <c r="FO18">
        <v>45</v>
      </c>
      <c r="FP18" t="s">
        <v>136</v>
      </c>
      <c r="FQ18">
        <v>1</v>
      </c>
      <c r="FS18">
        <v>80</v>
      </c>
      <c r="FT18" t="s">
        <v>110</v>
      </c>
      <c r="FW18">
        <v>79</v>
      </c>
      <c r="FX18" t="s">
        <v>110</v>
      </c>
      <c r="GA18">
        <v>74</v>
      </c>
      <c r="GB18" t="s">
        <v>110</v>
      </c>
      <c r="GE18">
        <v>45</v>
      </c>
      <c r="GF18" t="s">
        <v>110</v>
      </c>
      <c r="GI18">
        <v>68</v>
      </c>
      <c r="GJ18" t="s">
        <v>110</v>
      </c>
      <c r="GM18">
        <v>90</v>
      </c>
      <c r="GN18" t="s">
        <v>110</v>
      </c>
      <c r="GQ18">
        <v>45</v>
      </c>
      <c r="GR18" t="s">
        <v>136</v>
      </c>
      <c r="GS18">
        <v>1</v>
      </c>
      <c r="GY18">
        <v>18</v>
      </c>
      <c r="GZ18" t="s">
        <v>136</v>
      </c>
      <c r="HC18">
        <v>58</v>
      </c>
      <c r="HD18" t="s">
        <v>110</v>
      </c>
      <c r="HF18">
        <v>1</v>
      </c>
      <c r="HG18">
        <v>90</v>
      </c>
      <c r="HH18" t="s">
        <v>110</v>
      </c>
      <c r="HK18">
        <v>45</v>
      </c>
      <c r="HL18" t="s">
        <v>110</v>
      </c>
      <c r="HN18">
        <v>1</v>
      </c>
      <c r="HO18">
        <v>10</v>
      </c>
      <c r="HP18" t="s">
        <v>136</v>
      </c>
      <c r="HS18">
        <v>24</v>
      </c>
      <c r="HT18" t="s">
        <v>136</v>
      </c>
      <c r="HW18">
        <v>89</v>
      </c>
      <c r="HX18" t="s">
        <v>110</v>
      </c>
      <c r="PS18" s="3">
        <f t="shared" si="33"/>
        <v>5</v>
      </c>
      <c r="PT18" s="3">
        <f t="shared" si="34"/>
        <v>5</v>
      </c>
      <c r="PU18" s="3">
        <f t="shared" si="35"/>
        <v>0</v>
      </c>
      <c r="PV18">
        <f t="shared" si="1"/>
        <v>0</v>
      </c>
      <c r="PW18">
        <f t="shared" si="36"/>
        <v>7</v>
      </c>
    </row>
    <row r="19" spans="1:439" x14ac:dyDescent="0.2">
      <c r="A19" s="2" t="s">
        <v>128</v>
      </c>
      <c r="B19">
        <f t="shared" si="37"/>
        <v>1330</v>
      </c>
      <c r="C19">
        <f t="shared" si="2"/>
        <v>544</v>
      </c>
      <c r="D19">
        <f t="shared" si="3"/>
        <v>214</v>
      </c>
      <c r="E19">
        <f t="shared" si="4"/>
        <v>332</v>
      </c>
      <c r="F19">
        <f t="shared" si="5"/>
        <v>240</v>
      </c>
      <c r="G19">
        <f t="shared" si="6"/>
        <v>30</v>
      </c>
      <c r="H19" s="3">
        <f t="shared" si="7"/>
        <v>13</v>
      </c>
      <c r="I19" s="3">
        <f t="shared" si="8"/>
        <v>17</v>
      </c>
      <c r="J19" s="3">
        <f t="shared" si="9"/>
        <v>2</v>
      </c>
      <c r="K19">
        <f t="shared" si="10"/>
        <v>15</v>
      </c>
      <c r="L19" s="3">
        <f t="shared" si="11"/>
        <v>5</v>
      </c>
      <c r="M19" s="3">
        <f t="shared" si="12"/>
        <v>10</v>
      </c>
      <c r="N19" s="3">
        <f t="shared" si="13"/>
        <v>2</v>
      </c>
      <c r="O19">
        <f t="shared" si="14"/>
        <v>6</v>
      </c>
      <c r="P19" s="3">
        <f t="shared" si="15"/>
        <v>2</v>
      </c>
      <c r="Q19" s="3">
        <f t="shared" si="16"/>
        <v>4</v>
      </c>
      <c r="R19" s="3">
        <f t="shared" si="17"/>
        <v>0</v>
      </c>
      <c r="S19">
        <f>SUM(T19:U19)</f>
        <v>4</v>
      </c>
      <c r="T19" s="3">
        <f t="shared" si="19"/>
        <v>4</v>
      </c>
      <c r="U19" s="3">
        <f t="shared" si="20"/>
        <v>0</v>
      </c>
      <c r="V19" s="3">
        <f t="shared" si="0"/>
        <v>0</v>
      </c>
      <c r="W19" s="3">
        <f t="shared" si="21"/>
        <v>1</v>
      </c>
      <c r="X19" s="4">
        <f t="shared" si="22"/>
        <v>1</v>
      </c>
      <c r="Y19" s="4">
        <f t="shared" si="23"/>
        <v>1</v>
      </c>
      <c r="Z19" s="4">
        <f t="shared" si="24"/>
        <v>1</v>
      </c>
      <c r="AA19">
        <f t="shared" si="25"/>
        <v>1</v>
      </c>
      <c r="AB19">
        <f t="shared" si="26"/>
        <v>1</v>
      </c>
      <c r="AC19">
        <f t="shared" si="27"/>
        <v>0</v>
      </c>
      <c r="AD19">
        <f t="shared" si="28"/>
        <v>0</v>
      </c>
      <c r="AE19">
        <f t="shared" si="29"/>
        <v>0</v>
      </c>
      <c r="AF19">
        <f t="shared" si="30"/>
        <v>0</v>
      </c>
      <c r="AG19">
        <f t="shared" si="31"/>
        <v>0</v>
      </c>
      <c r="AH19">
        <f t="shared" si="32"/>
        <v>0</v>
      </c>
      <c r="AI19">
        <v>45</v>
      </c>
      <c r="AJ19" t="s">
        <v>136</v>
      </c>
      <c r="AM19">
        <v>45</v>
      </c>
      <c r="AN19" t="s">
        <v>136</v>
      </c>
      <c r="AQ19">
        <v>45</v>
      </c>
      <c r="AR19" t="s">
        <v>110</v>
      </c>
      <c r="AU19">
        <v>60</v>
      </c>
      <c r="AV19" t="s">
        <v>110</v>
      </c>
      <c r="BG19">
        <v>45</v>
      </c>
      <c r="BH19" t="s">
        <v>136</v>
      </c>
      <c r="CZ19" t="s">
        <v>139</v>
      </c>
      <c r="DD19" t="s">
        <v>139</v>
      </c>
      <c r="DG19">
        <v>31</v>
      </c>
      <c r="DH19" t="s">
        <v>136</v>
      </c>
      <c r="DL19" t="s">
        <v>139</v>
      </c>
      <c r="DO19">
        <v>21</v>
      </c>
      <c r="DP19" t="s">
        <v>136</v>
      </c>
      <c r="DS19">
        <v>2</v>
      </c>
      <c r="DT19" t="s">
        <v>136</v>
      </c>
      <c r="DW19">
        <v>14</v>
      </c>
      <c r="DX19" t="s">
        <v>136</v>
      </c>
      <c r="EA19">
        <v>77</v>
      </c>
      <c r="EB19" t="s">
        <v>110</v>
      </c>
      <c r="EE19">
        <v>25</v>
      </c>
      <c r="EF19" t="s">
        <v>136</v>
      </c>
      <c r="EI19">
        <v>17</v>
      </c>
      <c r="EJ19" t="s">
        <v>136</v>
      </c>
      <c r="EM19">
        <v>85</v>
      </c>
      <c r="EN19" t="s">
        <v>110</v>
      </c>
      <c r="EP19">
        <v>1</v>
      </c>
      <c r="ER19" t="s">
        <v>139</v>
      </c>
      <c r="EV19" t="s">
        <v>138</v>
      </c>
      <c r="EZ19" t="s">
        <v>139</v>
      </c>
      <c r="FC19">
        <v>69</v>
      </c>
      <c r="FD19" t="s">
        <v>110</v>
      </c>
      <c r="FH19" t="s">
        <v>138</v>
      </c>
      <c r="FK19">
        <v>45</v>
      </c>
      <c r="FL19" t="s">
        <v>136</v>
      </c>
      <c r="FP19" t="s">
        <v>139</v>
      </c>
      <c r="FT19" t="s">
        <v>139</v>
      </c>
      <c r="FW19">
        <v>11</v>
      </c>
      <c r="FX19" t="s">
        <v>136</v>
      </c>
      <c r="GB19" t="s">
        <v>139</v>
      </c>
      <c r="GE19">
        <v>26</v>
      </c>
      <c r="GF19" t="s">
        <v>136</v>
      </c>
      <c r="GI19">
        <v>68</v>
      </c>
      <c r="GJ19" t="s">
        <v>110</v>
      </c>
      <c r="GM19">
        <v>45</v>
      </c>
      <c r="GN19" t="s">
        <v>110</v>
      </c>
      <c r="GQ19">
        <v>8</v>
      </c>
      <c r="GR19" t="s">
        <v>136</v>
      </c>
      <c r="GS19">
        <v>1</v>
      </c>
      <c r="GY19">
        <v>72</v>
      </c>
      <c r="GZ19" t="s">
        <v>110</v>
      </c>
      <c r="HC19">
        <v>32</v>
      </c>
      <c r="HD19" t="s">
        <v>136</v>
      </c>
      <c r="HG19">
        <v>65</v>
      </c>
      <c r="HH19" t="s">
        <v>110</v>
      </c>
      <c r="HL19" t="s">
        <v>139</v>
      </c>
      <c r="HO19">
        <v>20</v>
      </c>
      <c r="HP19" t="s">
        <v>136</v>
      </c>
      <c r="HS19">
        <v>24</v>
      </c>
      <c r="HT19" t="s">
        <v>136</v>
      </c>
      <c r="HW19">
        <v>1</v>
      </c>
      <c r="HX19" t="s">
        <v>136</v>
      </c>
      <c r="IY19">
        <v>90</v>
      </c>
      <c r="IZ19" t="s">
        <v>110</v>
      </c>
      <c r="KE19">
        <v>90</v>
      </c>
      <c r="KF19" t="s">
        <v>110</v>
      </c>
      <c r="KQ19">
        <v>62</v>
      </c>
      <c r="KR19" t="s">
        <v>110</v>
      </c>
      <c r="KY19">
        <v>90</v>
      </c>
      <c r="KZ19" t="s">
        <v>110</v>
      </c>
      <c r="PS19" s="3">
        <f t="shared" si="33"/>
        <v>9</v>
      </c>
      <c r="PT19" s="3">
        <f t="shared" si="34"/>
        <v>8</v>
      </c>
      <c r="PU19" s="3">
        <f t="shared" si="35"/>
        <v>1</v>
      </c>
      <c r="PV19">
        <f t="shared" si="1"/>
        <v>0</v>
      </c>
      <c r="PW19">
        <f t="shared" si="36"/>
        <v>5</v>
      </c>
    </row>
    <row r="20" spans="1:439" x14ac:dyDescent="0.2">
      <c r="A20" s="2" t="s">
        <v>129</v>
      </c>
      <c r="B20">
        <f t="shared" si="37"/>
        <v>2197</v>
      </c>
      <c r="C20">
        <f t="shared" si="2"/>
        <v>1534</v>
      </c>
      <c r="D20">
        <f t="shared" si="3"/>
        <v>373</v>
      </c>
      <c r="E20">
        <f t="shared" si="4"/>
        <v>0</v>
      </c>
      <c r="F20">
        <f t="shared" si="5"/>
        <v>290</v>
      </c>
      <c r="G20">
        <f t="shared" si="6"/>
        <v>34</v>
      </c>
      <c r="H20" s="3">
        <f t="shared" si="7"/>
        <v>27</v>
      </c>
      <c r="I20" s="3">
        <f t="shared" si="8"/>
        <v>7</v>
      </c>
      <c r="J20" s="3">
        <f t="shared" si="9"/>
        <v>0</v>
      </c>
      <c r="K20">
        <f t="shared" si="10"/>
        <v>20</v>
      </c>
      <c r="L20" s="3">
        <f t="shared" si="11"/>
        <v>19</v>
      </c>
      <c r="M20" s="3">
        <f t="shared" si="12"/>
        <v>1</v>
      </c>
      <c r="N20" s="3">
        <f t="shared" si="13"/>
        <v>0</v>
      </c>
      <c r="O20">
        <f t="shared" si="14"/>
        <v>7</v>
      </c>
      <c r="P20" s="3">
        <f t="shared" si="15"/>
        <v>4</v>
      </c>
      <c r="Q20" s="3">
        <f t="shared" si="16"/>
        <v>3</v>
      </c>
      <c r="R20" s="3">
        <f t="shared" si="17"/>
        <v>0</v>
      </c>
      <c r="S20">
        <f t="shared" si="18"/>
        <v>0</v>
      </c>
      <c r="T20" s="3">
        <f t="shared" si="19"/>
        <v>0</v>
      </c>
      <c r="U20" s="3">
        <f t="shared" si="20"/>
        <v>0</v>
      </c>
      <c r="V20" s="3">
        <f t="shared" si="0"/>
        <v>0</v>
      </c>
      <c r="W20" s="3">
        <f t="shared" si="21"/>
        <v>15</v>
      </c>
      <c r="X20" s="4">
        <f t="shared" si="22"/>
        <v>13</v>
      </c>
      <c r="Y20" s="4">
        <f t="shared" si="23"/>
        <v>4</v>
      </c>
      <c r="Z20" s="4">
        <f t="shared" si="24"/>
        <v>4</v>
      </c>
      <c r="AA20">
        <f t="shared" si="25"/>
        <v>6</v>
      </c>
      <c r="AB20">
        <f t="shared" si="26"/>
        <v>3</v>
      </c>
      <c r="AC20">
        <f t="shared" si="27"/>
        <v>7</v>
      </c>
      <c r="AD20">
        <f t="shared" si="28"/>
        <v>1</v>
      </c>
      <c r="AE20">
        <f t="shared" si="29"/>
        <v>2</v>
      </c>
      <c r="AF20">
        <f t="shared" si="30"/>
        <v>0</v>
      </c>
      <c r="AG20">
        <f t="shared" si="31"/>
        <v>0</v>
      </c>
      <c r="AH20">
        <f t="shared" si="32"/>
        <v>0</v>
      </c>
      <c r="AI20">
        <v>45</v>
      </c>
      <c r="AJ20" t="s">
        <v>110</v>
      </c>
      <c r="AM20">
        <v>45</v>
      </c>
      <c r="AN20" t="s">
        <v>110</v>
      </c>
      <c r="AQ20">
        <v>45</v>
      </c>
      <c r="AR20" t="s">
        <v>136</v>
      </c>
      <c r="AS20">
        <v>1</v>
      </c>
      <c r="AU20">
        <v>20</v>
      </c>
      <c r="AV20" t="s">
        <v>110</v>
      </c>
      <c r="AY20">
        <v>45</v>
      </c>
      <c r="AZ20" t="s">
        <v>136</v>
      </c>
      <c r="BC20">
        <v>45</v>
      </c>
      <c r="BD20" t="s">
        <v>136</v>
      </c>
      <c r="BE20">
        <v>1</v>
      </c>
      <c r="BG20">
        <v>45</v>
      </c>
      <c r="BH20" t="s">
        <v>110</v>
      </c>
      <c r="CY20">
        <v>86</v>
      </c>
      <c r="CZ20" t="s">
        <v>110</v>
      </c>
      <c r="DA20">
        <v>1</v>
      </c>
      <c r="DC20">
        <v>78</v>
      </c>
      <c r="DD20" t="s">
        <v>110</v>
      </c>
      <c r="DG20">
        <v>75</v>
      </c>
      <c r="DH20" t="s">
        <v>110</v>
      </c>
      <c r="DK20">
        <v>84</v>
      </c>
      <c r="DL20" t="s">
        <v>110</v>
      </c>
      <c r="DO20">
        <v>77</v>
      </c>
      <c r="DP20" t="s">
        <v>110</v>
      </c>
      <c r="DQ20">
        <v>1</v>
      </c>
      <c r="DR20">
        <v>1</v>
      </c>
      <c r="DS20">
        <v>80</v>
      </c>
      <c r="DT20" t="s">
        <v>110</v>
      </c>
      <c r="DW20">
        <v>76</v>
      </c>
      <c r="DX20" t="s">
        <v>110</v>
      </c>
      <c r="DY20">
        <v>1</v>
      </c>
      <c r="DZ20">
        <v>1</v>
      </c>
      <c r="EA20">
        <v>88</v>
      </c>
      <c r="EB20" t="s">
        <v>110</v>
      </c>
      <c r="EE20">
        <v>75</v>
      </c>
      <c r="EF20" t="s">
        <v>110</v>
      </c>
      <c r="EG20">
        <v>1</v>
      </c>
      <c r="EH20">
        <v>1</v>
      </c>
      <c r="EI20">
        <v>73</v>
      </c>
      <c r="EJ20" t="s">
        <v>110</v>
      </c>
      <c r="EM20">
        <v>90</v>
      </c>
      <c r="EN20" t="s">
        <v>110</v>
      </c>
      <c r="EQ20">
        <v>80</v>
      </c>
      <c r="ER20" t="s">
        <v>110</v>
      </c>
      <c r="EU20">
        <v>90</v>
      </c>
      <c r="EV20" t="s">
        <v>110</v>
      </c>
      <c r="EW20">
        <v>1</v>
      </c>
      <c r="EY20">
        <v>63</v>
      </c>
      <c r="EZ20" t="s">
        <v>110</v>
      </c>
      <c r="FC20">
        <v>90</v>
      </c>
      <c r="FD20" t="s">
        <v>110</v>
      </c>
      <c r="FE20">
        <v>1</v>
      </c>
      <c r="FG20">
        <v>82</v>
      </c>
      <c r="FH20" t="s">
        <v>110</v>
      </c>
      <c r="FL20" t="s">
        <v>139</v>
      </c>
      <c r="FO20">
        <v>68</v>
      </c>
      <c r="FP20" t="s">
        <v>110</v>
      </c>
      <c r="FS20">
        <v>90</v>
      </c>
      <c r="FT20" t="s">
        <v>110</v>
      </c>
      <c r="FW20">
        <v>79</v>
      </c>
      <c r="FX20" t="s">
        <v>110</v>
      </c>
      <c r="GA20">
        <v>10</v>
      </c>
      <c r="GB20" t="s">
        <v>136</v>
      </c>
      <c r="GF20" t="s">
        <v>139</v>
      </c>
      <c r="GJ20" t="s">
        <v>139</v>
      </c>
      <c r="GN20" t="s">
        <v>139</v>
      </c>
      <c r="GR20" t="s">
        <v>139</v>
      </c>
      <c r="GY20">
        <v>31</v>
      </c>
      <c r="GZ20" t="s">
        <v>136</v>
      </c>
      <c r="HA20">
        <v>1</v>
      </c>
      <c r="HC20">
        <v>32</v>
      </c>
      <c r="HD20" t="s">
        <v>136</v>
      </c>
      <c r="HE20">
        <v>2</v>
      </c>
      <c r="HG20">
        <v>45</v>
      </c>
      <c r="HH20" t="s">
        <v>110</v>
      </c>
      <c r="HK20">
        <v>90</v>
      </c>
      <c r="HL20" t="s">
        <v>110</v>
      </c>
      <c r="HM20">
        <v>4</v>
      </c>
      <c r="HN20">
        <v>1</v>
      </c>
      <c r="HO20">
        <v>20</v>
      </c>
      <c r="HP20" t="s">
        <v>136</v>
      </c>
      <c r="HS20">
        <v>66</v>
      </c>
      <c r="HT20" t="s">
        <v>110</v>
      </c>
      <c r="HW20">
        <v>89</v>
      </c>
      <c r="HX20" t="s">
        <v>110</v>
      </c>
      <c r="PS20" s="3">
        <f t="shared" si="33"/>
        <v>5</v>
      </c>
      <c r="PT20" s="3">
        <f t="shared" si="34"/>
        <v>5</v>
      </c>
      <c r="PU20" s="3">
        <f t="shared" si="35"/>
        <v>0</v>
      </c>
      <c r="PV20">
        <f t="shared" si="1"/>
        <v>0</v>
      </c>
      <c r="PW20">
        <f t="shared" si="36"/>
        <v>7</v>
      </c>
    </row>
    <row r="21" spans="1:439" x14ac:dyDescent="0.2">
      <c r="A21" s="5" t="s">
        <v>130</v>
      </c>
      <c r="B21">
        <f t="shared" si="37"/>
        <v>183</v>
      </c>
      <c r="C21">
        <f t="shared" si="2"/>
        <v>0</v>
      </c>
      <c r="D21">
        <f t="shared" si="3"/>
        <v>0</v>
      </c>
      <c r="E21">
        <f t="shared" si="4"/>
        <v>68</v>
      </c>
      <c r="F21">
        <f t="shared" si="5"/>
        <v>115</v>
      </c>
      <c r="G21">
        <f t="shared" si="6"/>
        <v>6</v>
      </c>
      <c r="H21" s="3">
        <f t="shared" si="7"/>
        <v>1</v>
      </c>
      <c r="I21" s="3">
        <f t="shared" si="8"/>
        <v>5</v>
      </c>
      <c r="J21" s="3">
        <f t="shared" si="9"/>
        <v>0</v>
      </c>
      <c r="K21">
        <f t="shared" si="10"/>
        <v>0</v>
      </c>
      <c r="L21" s="3">
        <f t="shared" si="11"/>
        <v>0</v>
      </c>
      <c r="M21" s="3">
        <f t="shared" si="12"/>
        <v>0</v>
      </c>
      <c r="N21" s="3">
        <f t="shared" si="13"/>
        <v>0</v>
      </c>
      <c r="O21">
        <f t="shared" si="14"/>
        <v>0</v>
      </c>
      <c r="P21" s="3">
        <f t="shared" si="15"/>
        <v>0</v>
      </c>
      <c r="Q21" s="3">
        <f t="shared" si="16"/>
        <v>0</v>
      </c>
      <c r="R21" s="3">
        <f t="shared" si="17"/>
        <v>0</v>
      </c>
      <c r="S21">
        <f t="shared" si="18"/>
        <v>1</v>
      </c>
      <c r="T21" s="3">
        <f t="shared" si="19"/>
        <v>1</v>
      </c>
      <c r="U21" s="3">
        <f t="shared" si="20"/>
        <v>0</v>
      </c>
      <c r="V21" s="3">
        <f t="shared" si="0"/>
        <v>0</v>
      </c>
      <c r="W21" s="3">
        <f t="shared" si="21"/>
        <v>0</v>
      </c>
      <c r="X21" s="4">
        <f t="shared" si="22"/>
        <v>0</v>
      </c>
      <c r="Y21" s="4">
        <f t="shared" si="23"/>
        <v>1</v>
      </c>
      <c r="Z21" s="4">
        <f t="shared" si="24"/>
        <v>1</v>
      </c>
      <c r="AA21">
        <f t="shared" si="25"/>
        <v>0</v>
      </c>
      <c r="AB21">
        <f t="shared" si="26"/>
        <v>1</v>
      </c>
      <c r="AC21">
        <f t="shared" si="27"/>
        <v>0</v>
      </c>
      <c r="AD21">
        <f t="shared" si="28"/>
        <v>0</v>
      </c>
      <c r="AE21">
        <f t="shared" si="29"/>
        <v>0</v>
      </c>
      <c r="AF21">
        <f t="shared" si="30"/>
        <v>0</v>
      </c>
      <c r="AG21">
        <f t="shared" si="31"/>
        <v>0</v>
      </c>
      <c r="AH21">
        <f t="shared" si="32"/>
        <v>0</v>
      </c>
      <c r="AI21">
        <v>20</v>
      </c>
      <c r="AJ21" t="s">
        <v>136</v>
      </c>
      <c r="AM21">
        <v>15</v>
      </c>
      <c r="AN21" t="s">
        <v>136</v>
      </c>
      <c r="AQ21">
        <v>30</v>
      </c>
      <c r="AR21" t="s">
        <v>136</v>
      </c>
      <c r="AU21">
        <v>30</v>
      </c>
      <c r="AV21" t="s">
        <v>136</v>
      </c>
      <c r="AY21">
        <v>20</v>
      </c>
      <c r="AZ21" t="s">
        <v>136</v>
      </c>
      <c r="CZ21" t="s">
        <v>139</v>
      </c>
      <c r="DD21" t="s">
        <v>139</v>
      </c>
      <c r="DH21" t="s">
        <v>139</v>
      </c>
      <c r="DL21" t="s">
        <v>139</v>
      </c>
      <c r="DP21" t="s">
        <v>139</v>
      </c>
      <c r="DT21" t="s">
        <v>139</v>
      </c>
      <c r="DX21" t="s">
        <v>139</v>
      </c>
      <c r="EB21" t="s">
        <v>139</v>
      </c>
      <c r="EF21" t="s">
        <v>139</v>
      </c>
      <c r="EJ21" t="s">
        <v>139</v>
      </c>
      <c r="EX21">
        <v>1</v>
      </c>
      <c r="HD21" t="s">
        <v>139</v>
      </c>
      <c r="HH21" t="s">
        <v>139</v>
      </c>
      <c r="HL21" t="s">
        <v>139</v>
      </c>
      <c r="HP21" t="s">
        <v>139</v>
      </c>
      <c r="IU21">
        <v>68</v>
      </c>
      <c r="IV21" t="s">
        <v>110</v>
      </c>
      <c r="PS21" s="3">
        <f t="shared" si="33"/>
        <v>14</v>
      </c>
      <c r="PT21" s="3">
        <f t="shared" si="34"/>
        <v>10</v>
      </c>
      <c r="PU21" s="3">
        <f t="shared" si="35"/>
        <v>4</v>
      </c>
      <c r="PV21">
        <f t="shared" si="1"/>
        <v>0</v>
      </c>
      <c r="PW21">
        <f t="shared" si="36"/>
        <v>5</v>
      </c>
    </row>
    <row r="22" spans="1:439" x14ac:dyDescent="0.2">
      <c r="A22" s="6" t="s">
        <v>131</v>
      </c>
      <c r="B22">
        <f t="shared" si="37"/>
        <v>2851</v>
      </c>
      <c r="C22">
        <f t="shared" si="2"/>
        <v>1832</v>
      </c>
      <c r="D22">
        <f t="shared" si="3"/>
        <v>604</v>
      </c>
      <c r="E22">
        <f t="shared" si="4"/>
        <v>0</v>
      </c>
      <c r="F22">
        <f t="shared" si="5"/>
        <v>415</v>
      </c>
      <c r="G22">
        <f t="shared" si="6"/>
        <v>35</v>
      </c>
      <c r="H22" s="3">
        <f t="shared" si="7"/>
        <v>35</v>
      </c>
      <c r="I22" s="3">
        <f t="shared" si="8"/>
        <v>0</v>
      </c>
      <c r="J22" s="3">
        <f t="shared" si="9"/>
        <v>0</v>
      </c>
      <c r="K22">
        <f t="shared" si="10"/>
        <v>21</v>
      </c>
      <c r="L22" s="3">
        <f t="shared" si="11"/>
        <v>21</v>
      </c>
      <c r="M22" s="3">
        <f t="shared" si="12"/>
        <v>0</v>
      </c>
      <c r="N22" s="3">
        <f t="shared" si="13"/>
        <v>0</v>
      </c>
      <c r="O22">
        <f t="shared" si="14"/>
        <v>7</v>
      </c>
      <c r="P22" s="3">
        <f t="shared" si="15"/>
        <v>7</v>
      </c>
      <c r="Q22" s="3">
        <f t="shared" si="16"/>
        <v>0</v>
      </c>
      <c r="R22" s="3">
        <f t="shared" si="17"/>
        <v>0</v>
      </c>
      <c r="S22">
        <f t="shared" si="18"/>
        <v>0</v>
      </c>
      <c r="T22" s="3">
        <f t="shared" si="19"/>
        <v>0</v>
      </c>
      <c r="U22" s="3">
        <f t="shared" si="20"/>
        <v>0</v>
      </c>
      <c r="V22" s="3">
        <f t="shared" si="0"/>
        <v>0</v>
      </c>
      <c r="W22" s="3">
        <f t="shared" si="21"/>
        <v>8</v>
      </c>
      <c r="X22" s="4">
        <f t="shared" si="22"/>
        <v>5</v>
      </c>
      <c r="Y22" s="4">
        <f t="shared" si="23"/>
        <v>5</v>
      </c>
      <c r="Z22" s="4">
        <f t="shared" si="24"/>
        <v>5</v>
      </c>
      <c r="AA22">
        <f t="shared" si="25"/>
        <v>2</v>
      </c>
      <c r="AB22">
        <f t="shared" si="26"/>
        <v>4</v>
      </c>
      <c r="AC22">
        <f t="shared" si="27"/>
        <v>3</v>
      </c>
      <c r="AD22">
        <f t="shared" si="28"/>
        <v>1</v>
      </c>
      <c r="AE22">
        <f t="shared" si="29"/>
        <v>3</v>
      </c>
      <c r="AF22">
        <f t="shared" si="30"/>
        <v>0</v>
      </c>
      <c r="AG22">
        <f t="shared" si="31"/>
        <v>0</v>
      </c>
      <c r="AH22">
        <f t="shared" si="32"/>
        <v>0</v>
      </c>
      <c r="AI22">
        <v>60</v>
      </c>
      <c r="AJ22" t="s">
        <v>110</v>
      </c>
      <c r="AK22">
        <v>1</v>
      </c>
      <c r="AM22">
        <v>45</v>
      </c>
      <c r="AN22" t="s">
        <v>110</v>
      </c>
      <c r="AQ22">
        <v>45</v>
      </c>
      <c r="AR22" t="s">
        <v>110</v>
      </c>
      <c r="AU22">
        <v>60</v>
      </c>
      <c r="AV22" t="s">
        <v>110</v>
      </c>
      <c r="AW22">
        <v>2</v>
      </c>
      <c r="AY22">
        <v>70</v>
      </c>
      <c r="AZ22" t="s">
        <v>110</v>
      </c>
      <c r="BC22">
        <v>90</v>
      </c>
      <c r="BD22" t="s">
        <v>110</v>
      </c>
      <c r="BG22">
        <v>45</v>
      </c>
      <c r="BH22" t="s">
        <v>110</v>
      </c>
      <c r="CY22">
        <v>90</v>
      </c>
      <c r="CZ22" t="s">
        <v>110</v>
      </c>
      <c r="DC22">
        <v>90</v>
      </c>
      <c r="DD22" t="s">
        <v>110</v>
      </c>
      <c r="DG22">
        <v>90</v>
      </c>
      <c r="DH22" t="s">
        <v>110</v>
      </c>
      <c r="DK22">
        <v>90</v>
      </c>
      <c r="DL22" t="s">
        <v>110</v>
      </c>
      <c r="DO22">
        <v>90</v>
      </c>
      <c r="DP22" t="s">
        <v>110</v>
      </c>
      <c r="DR22">
        <v>1</v>
      </c>
      <c r="DS22">
        <v>90</v>
      </c>
      <c r="DT22" t="s">
        <v>110</v>
      </c>
      <c r="DW22">
        <v>90</v>
      </c>
      <c r="DX22" t="s">
        <v>110</v>
      </c>
      <c r="DY22">
        <v>1</v>
      </c>
      <c r="DZ22">
        <v>1</v>
      </c>
      <c r="EA22">
        <v>90</v>
      </c>
      <c r="EB22" t="s">
        <v>110</v>
      </c>
      <c r="EE22">
        <v>90</v>
      </c>
      <c r="EF22" t="s">
        <v>110</v>
      </c>
      <c r="EG22">
        <v>1</v>
      </c>
      <c r="EH22">
        <v>1</v>
      </c>
      <c r="EI22">
        <v>90</v>
      </c>
      <c r="EJ22" t="s">
        <v>110</v>
      </c>
      <c r="EM22">
        <v>90</v>
      </c>
      <c r="EN22" t="s">
        <v>110</v>
      </c>
      <c r="EQ22">
        <v>90</v>
      </c>
      <c r="ER22" t="s">
        <v>110</v>
      </c>
      <c r="EU22">
        <v>90</v>
      </c>
      <c r="EV22" t="s">
        <v>110</v>
      </c>
      <c r="EY22">
        <v>89</v>
      </c>
      <c r="EZ22" t="s">
        <v>110</v>
      </c>
      <c r="FB22">
        <v>1</v>
      </c>
      <c r="FC22">
        <v>90</v>
      </c>
      <c r="FD22" t="s">
        <v>110</v>
      </c>
      <c r="FG22">
        <v>89</v>
      </c>
      <c r="FH22" t="s">
        <v>110</v>
      </c>
      <c r="FK22">
        <v>43</v>
      </c>
      <c r="FL22" t="s">
        <v>110</v>
      </c>
      <c r="FO22">
        <v>90</v>
      </c>
      <c r="FP22" t="s">
        <v>110</v>
      </c>
      <c r="FS22">
        <v>90</v>
      </c>
      <c r="FT22" t="s">
        <v>110</v>
      </c>
      <c r="FW22">
        <v>89</v>
      </c>
      <c r="FX22" t="s">
        <v>110</v>
      </c>
      <c r="GA22">
        <v>82</v>
      </c>
      <c r="GB22" t="s">
        <v>110</v>
      </c>
      <c r="GF22" t="s">
        <v>139</v>
      </c>
      <c r="GJ22" t="s">
        <v>139</v>
      </c>
      <c r="GN22" t="s">
        <v>139</v>
      </c>
      <c r="GR22" t="s">
        <v>139</v>
      </c>
      <c r="GY22">
        <v>90</v>
      </c>
      <c r="GZ22" t="s">
        <v>110</v>
      </c>
      <c r="HC22">
        <v>90</v>
      </c>
      <c r="HD22" t="s">
        <v>110</v>
      </c>
      <c r="HE22">
        <v>1</v>
      </c>
      <c r="HG22">
        <v>90</v>
      </c>
      <c r="HH22" t="s">
        <v>110</v>
      </c>
      <c r="HK22">
        <v>64</v>
      </c>
      <c r="HL22" t="s">
        <v>110</v>
      </c>
      <c r="HM22">
        <v>1</v>
      </c>
      <c r="HN22">
        <v>1</v>
      </c>
      <c r="HO22">
        <v>90</v>
      </c>
      <c r="HP22" t="s">
        <v>110</v>
      </c>
      <c r="HS22">
        <v>90</v>
      </c>
      <c r="HT22" t="s">
        <v>110</v>
      </c>
      <c r="HU22">
        <v>1</v>
      </c>
      <c r="HW22">
        <v>90</v>
      </c>
      <c r="HX22" t="s">
        <v>110</v>
      </c>
      <c r="PS22" s="3">
        <f t="shared" si="33"/>
        <v>4</v>
      </c>
      <c r="PT22" s="3">
        <f t="shared" si="34"/>
        <v>4</v>
      </c>
      <c r="PU22" s="3">
        <f t="shared" si="35"/>
        <v>0</v>
      </c>
      <c r="PV22">
        <f t="shared" si="1"/>
        <v>0</v>
      </c>
      <c r="PW22">
        <f t="shared" si="36"/>
        <v>7</v>
      </c>
    </row>
    <row r="23" spans="1:439" x14ac:dyDescent="0.2">
      <c r="A23" s="2" t="s">
        <v>132</v>
      </c>
      <c r="B23">
        <f t="shared" si="37"/>
        <v>190</v>
      </c>
      <c r="C23">
        <f t="shared" si="2"/>
        <v>0</v>
      </c>
      <c r="D23">
        <f t="shared" si="3"/>
        <v>0</v>
      </c>
      <c r="E23">
        <f t="shared" si="4"/>
        <v>190</v>
      </c>
      <c r="F23">
        <f t="shared" si="5"/>
        <v>0</v>
      </c>
      <c r="G23">
        <f t="shared" si="6"/>
        <v>3</v>
      </c>
      <c r="H23" s="3">
        <f t="shared" si="7"/>
        <v>2</v>
      </c>
      <c r="I23" s="3">
        <f t="shared" si="8"/>
        <v>1</v>
      </c>
      <c r="J23" s="3">
        <f t="shared" si="9"/>
        <v>0</v>
      </c>
      <c r="K23">
        <f t="shared" si="10"/>
        <v>0</v>
      </c>
      <c r="L23" s="3">
        <f t="shared" si="11"/>
        <v>0</v>
      </c>
      <c r="M23" s="3">
        <f t="shared" si="12"/>
        <v>0</v>
      </c>
      <c r="N23" s="3">
        <f t="shared" si="13"/>
        <v>0</v>
      </c>
      <c r="O23">
        <f t="shared" si="14"/>
        <v>0</v>
      </c>
      <c r="P23" s="3">
        <f t="shared" si="15"/>
        <v>0</v>
      </c>
      <c r="Q23" s="3">
        <f t="shared" si="16"/>
        <v>0</v>
      </c>
      <c r="R23" s="3">
        <f t="shared" si="17"/>
        <v>0</v>
      </c>
      <c r="S23">
        <f t="shared" si="18"/>
        <v>3</v>
      </c>
      <c r="T23" s="3">
        <f t="shared" si="19"/>
        <v>2</v>
      </c>
      <c r="U23" s="3">
        <f t="shared" si="20"/>
        <v>1</v>
      </c>
      <c r="V23" s="3">
        <f t="shared" si="0"/>
        <v>0</v>
      </c>
      <c r="W23" s="3">
        <f t="shared" si="21"/>
        <v>0</v>
      </c>
      <c r="X23" s="4">
        <f t="shared" si="22"/>
        <v>0</v>
      </c>
      <c r="Y23" s="4">
        <f t="shared" si="23"/>
        <v>0</v>
      </c>
      <c r="Z23" s="4">
        <f t="shared" si="24"/>
        <v>0</v>
      </c>
      <c r="AA23">
        <f t="shared" si="25"/>
        <v>0</v>
      </c>
      <c r="AB23">
        <f t="shared" si="26"/>
        <v>0</v>
      </c>
      <c r="AC23">
        <f t="shared" si="27"/>
        <v>0</v>
      </c>
      <c r="AD23">
        <f t="shared" si="28"/>
        <v>0</v>
      </c>
      <c r="AE23">
        <f t="shared" si="29"/>
        <v>0</v>
      </c>
      <c r="AF23">
        <f t="shared" si="30"/>
        <v>0</v>
      </c>
      <c r="AG23">
        <f t="shared" si="31"/>
        <v>0</v>
      </c>
      <c r="AH23">
        <f t="shared" si="32"/>
        <v>0</v>
      </c>
      <c r="CZ23" t="s">
        <v>139</v>
      </c>
      <c r="DD23" t="s">
        <v>139</v>
      </c>
      <c r="DH23" t="s">
        <v>139</v>
      </c>
      <c r="DL23" t="s">
        <v>139</v>
      </c>
      <c r="DP23" t="s">
        <v>139</v>
      </c>
      <c r="DT23" t="s">
        <v>139</v>
      </c>
      <c r="DX23" t="s">
        <v>139</v>
      </c>
      <c r="EB23" t="s">
        <v>139</v>
      </c>
      <c r="EF23" t="s">
        <v>139</v>
      </c>
      <c r="EJ23" t="s">
        <v>139</v>
      </c>
      <c r="HD23" t="s">
        <v>139</v>
      </c>
      <c r="HH23" t="s">
        <v>139</v>
      </c>
      <c r="HL23" t="s">
        <v>139</v>
      </c>
      <c r="HP23" t="s">
        <v>139</v>
      </c>
      <c r="HT23" t="s">
        <v>139</v>
      </c>
      <c r="IU23">
        <v>90</v>
      </c>
      <c r="IV23" t="s">
        <v>110</v>
      </c>
      <c r="JW23">
        <v>10</v>
      </c>
      <c r="JX23" t="s">
        <v>136</v>
      </c>
      <c r="ME23">
        <v>90</v>
      </c>
      <c r="MF23" t="s">
        <v>110</v>
      </c>
      <c r="PS23" s="3">
        <f t="shared" si="33"/>
        <v>15</v>
      </c>
      <c r="PT23" s="3">
        <f t="shared" si="34"/>
        <v>10</v>
      </c>
      <c r="PU23" s="3">
        <f t="shared" si="35"/>
        <v>5</v>
      </c>
      <c r="PV23">
        <f t="shared" si="1"/>
        <v>0</v>
      </c>
      <c r="PW23">
        <f t="shared" si="36"/>
        <v>0</v>
      </c>
    </row>
    <row r="24" spans="1:439" x14ac:dyDescent="0.2">
      <c r="A24" s="2" t="s">
        <v>133</v>
      </c>
      <c r="B24">
        <f t="shared" si="37"/>
        <v>2582</v>
      </c>
      <c r="C24">
        <f t="shared" si="2"/>
        <v>1890</v>
      </c>
      <c r="D24">
        <f t="shared" si="3"/>
        <v>452</v>
      </c>
      <c r="E24">
        <f t="shared" si="4"/>
        <v>0</v>
      </c>
      <c r="F24">
        <f t="shared" si="5"/>
        <v>240</v>
      </c>
      <c r="G24">
        <f t="shared" si="6"/>
        <v>33</v>
      </c>
      <c r="H24" s="3">
        <f t="shared" si="7"/>
        <v>30</v>
      </c>
      <c r="I24" s="3">
        <f t="shared" si="8"/>
        <v>3</v>
      </c>
      <c r="J24" s="3">
        <f t="shared" si="9"/>
        <v>1</v>
      </c>
      <c r="K24">
        <f t="shared" si="10"/>
        <v>22</v>
      </c>
      <c r="L24" s="3">
        <f t="shared" si="11"/>
        <v>22</v>
      </c>
      <c r="M24" s="3">
        <f t="shared" si="12"/>
        <v>0</v>
      </c>
      <c r="N24" s="3">
        <f t="shared" si="13"/>
        <v>1</v>
      </c>
      <c r="O24">
        <f t="shared" si="14"/>
        <v>6</v>
      </c>
      <c r="P24" s="3">
        <f t="shared" si="15"/>
        <v>5</v>
      </c>
      <c r="Q24" s="3">
        <f t="shared" si="16"/>
        <v>1</v>
      </c>
      <c r="R24" s="3">
        <f t="shared" si="17"/>
        <v>0</v>
      </c>
      <c r="S24">
        <f t="shared" si="18"/>
        <v>0</v>
      </c>
      <c r="T24" s="3">
        <f t="shared" si="19"/>
        <v>0</v>
      </c>
      <c r="U24" s="3">
        <f t="shared" si="20"/>
        <v>0</v>
      </c>
      <c r="V24" s="3">
        <f t="shared" si="0"/>
        <v>0</v>
      </c>
      <c r="W24" s="3">
        <f t="shared" si="21"/>
        <v>0</v>
      </c>
      <c r="X24" s="4">
        <f t="shared" si="22"/>
        <v>0</v>
      </c>
      <c r="Y24" s="4">
        <f t="shared" si="23"/>
        <v>1</v>
      </c>
      <c r="Z24" s="4">
        <f t="shared" si="24"/>
        <v>1</v>
      </c>
      <c r="AA24">
        <f t="shared" si="25"/>
        <v>0</v>
      </c>
      <c r="AB24">
        <f t="shared" si="26"/>
        <v>1</v>
      </c>
      <c r="AC24">
        <f t="shared" si="27"/>
        <v>0</v>
      </c>
      <c r="AD24">
        <f t="shared" si="28"/>
        <v>0</v>
      </c>
      <c r="AE24">
        <f t="shared" si="29"/>
        <v>0</v>
      </c>
      <c r="AF24">
        <f t="shared" si="30"/>
        <v>0</v>
      </c>
      <c r="AG24">
        <f t="shared" si="31"/>
        <v>0</v>
      </c>
      <c r="AH24">
        <f t="shared" si="32"/>
        <v>0</v>
      </c>
      <c r="AI24">
        <v>45</v>
      </c>
      <c r="AJ24" t="s">
        <v>136</v>
      </c>
      <c r="AM24">
        <v>45</v>
      </c>
      <c r="AN24" t="s">
        <v>110</v>
      </c>
      <c r="AQ24">
        <v>45</v>
      </c>
      <c r="AR24" t="s">
        <v>110</v>
      </c>
      <c r="AU24">
        <v>45</v>
      </c>
      <c r="AV24" t="s">
        <v>136</v>
      </c>
      <c r="BG24">
        <v>60</v>
      </c>
      <c r="BH24" t="s">
        <v>110</v>
      </c>
      <c r="CY24">
        <v>90</v>
      </c>
      <c r="CZ24" t="s">
        <v>110</v>
      </c>
      <c r="DC24">
        <v>90</v>
      </c>
      <c r="DD24" t="s">
        <v>110</v>
      </c>
      <c r="DG24">
        <v>90</v>
      </c>
      <c r="DH24" t="s">
        <v>110</v>
      </c>
      <c r="DK24">
        <v>90</v>
      </c>
      <c r="DL24" t="s">
        <v>110</v>
      </c>
      <c r="DO24">
        <v>90</v>
      </c>
      <c r="DP24" t="s">
        <v>110</v>
      </c>
      <c r="DT24" t="s">
        <v>139</v>
      </c>
      <c r="DW24">
        <v>90</v>
      </c>
      <c r="DX24" t="s">
        <v>110</v>
      </c>
      <c r="EA24">
        <v>90</v>
      </c>
      <c r="EB24" t="s">
        <v>110</v>
      </c>
      <c r="EE24">
        <v>90</v>
      </c>
      <c r="EF24" t="s">
        <v>110</v>
      </c>
      <c r="EI24">
        <v>90</v>
      </c>
      <c r="EJ24" t="s">
        <v>110</v>
      </c>
      <c r="EL24">
        <v>1</v>
      </c>
      <c r="EM24">
        <v>90</v>
      </c>
      <c r="EN24" t="s">
        <v>110</v>
      </c>
      <c r="EQ24">
        <v>90</v>
      </c>
      <c r="ER24" t="s">
        <v>110</v>
      </c>
      <c r="EU24">
        <v>90</v>
      </c>
      <c r="EV24" t="s">
        <v>110</v>
      </c>
      <c r="EY24">
        <v>90</v>
      </c>
      <c r="EZ24" t="s">
        <v>110</v>
      </c>
      <c r="FC24">
        <v>45</v>
      </c>
      <c r="FD24" t="s">
        <v>110</v>
      </c>
      <c r="FG24">
        <v>90</v>
      </c>
      <c r="FH24" t="s">
        <v>110</v>
      </c>
      <c r="FL24" t="s">
        <v>139</v>
      </c>
      <c r="FP24" t="s">
        <v>138</v>
      </c>
      <c r="FS24">
        <v>90</v>
      </c>
      <c r="FT24" t="s">
        <v>110</v>
      </c>
      <c r="FW24">
        <v>90</v>
      </c>
      <c r="FX24" t="s">
        <v>110</v>
      </c>
      <c r="GA24">
        <v>90</v>
      </c>
      <c r="GB24" t="s">
        <v>110</v>
      </c>
      <c r="GE24">
        <v>90</v>
      </c>
      <c r="GF24" t="s">
        <v>110</v>
      </c>
      <c r="GI24">
        <v>90</v>
      </c>
      <c r="GJ24" t="s">
        <v>110</v>
      </c>
      <c r="GM24">
        <v>45</v>
      </c>
      <c r="GN24" t="s">
        <v>110</v>
      </c>
      <c r="GQ24">
        <v>90</v>
      </c>
      <c r="GR24" t="s">
        <v>110</v>
      </c>
      <c r="GY24">
        <v>90</v>
      </c>
      <c r="GZ24" t="s">
        <v>110</v>
      </c>
      <c r="HC24">
        <v>90</v>
      </c>
      <c r="HD24" t="s">
        <v>110</v>
      </c>
      <c r="HG24">
        <v>5</v>
      </c>
      <c r="HH24" t="s">
        <v>136</v>
      </c>
      <c r="HL24" t="s">
        <v>139</v>
      </c>
      <c r="HO24">
        <v>90</v>
      </c>
      <c r="HP24" t="s">
        <v>110</v>
      </c>
      <c r="HS24">
        <v>90</v>
      </c>
      <c r="HT24" t="s">
        <v>110</v>
      </c>
      <c r="HW24">
        <v>87</v>
      </c>
      <c r="HX24" t="s">
        <v>110</v>
      </c>
      <c r="PS24" s="3">
        <f t="shared" si="33"/>
        <v>3</v>
      </c>
      <c r="PT24" s="3">
        <f t="shared" si="34"/>
        <v>2</v>
      </c>
      <c r="PU24" s="3">
        <f t="shared" si="35"/>
        <v>1</v>
      </c>
      <c r="PV24">
        <f t="shared" si="1"/>
        <v>0</v>
      </c>
      <c r="PW24">
        <f t="shared" si="36"/>
        <v>5</v>
      </c>
    </row>
    <row r="25" spans="1:439" x14ac:dyDescent="0.2">
      <c r="A25" s="2" t="s">
        <v>137</v>
      </c>
      <c r="B25">
        <f t="shared" si="37"/>
        <v>652</v>
      </c>
      <c r="C25">
        <f t="shared" si="2"/>
        <v>77</v>
      </c>
      <c r="D25">
        <f t="shared" si="3"/>
        <v>275</v>
      </c>
      <c r="E25">
        <f t="shared" si="4"/>
        <v>165</v>
      </c>
      <c r="F25">
        <f t="shared" si="5"/>
        <v>135</v>
      </c>
      <c r="G25">
        <f t="shared" si="6"/>
        <v>16</v>
      </c>
      <c r="H25" s="3">
        <f t="shared" si="7"/>
        <v>5</v>
      </c>
      <c r="I25" s="3">
        <f t="shared" si="8"/>
        <v>11</v>
      </c>
      <c r="J25" s="3">
        <f t="shared" si="9"/>
        <v>1</v>
      </c>
      <c r="K25">
        <f t="shared" si="10"/>
        <v>6</v>
      </c>
      <c r="L25" s="3">
        <f t="shared" si="11"/>
        <v>0</v>
      </c>
      <c r="M25" s="3">
        <f t="shared" si="12"/>
        <v>6</v>
      </c>
      <c r="N25" s="3">
        <f t="shared" si="13"/>
        <v>0</v>
      </c>
      <c r="O25">
        <f t="shared" si="14"/>
        <v>4</v>
      </c>
      <c r="P25" s="3">
        <f t="shared" si="15"/>
        <v>3</v>
      </c>
      <c r="Q25" s="3">
        <f t="shared" si="16"/>
        <v>1</v>
      </c>
      <c r="R25" s="3">
        <f t="shared" si="17"/>
        <v>1</v>
      </c>
      <c r="S25">
        <f t="shared" si="18"/>
        <v>2</v>
      </c>
      <c r="T25" s="3">
        <f t="shared" si="19"/>
        <v>2</v>
      </c>
      <c r="U25" s="3">
        <f t="shared" si="20"/>
        <v>0</v>
      </c>
      <c r="V25" s="3">
        <f t="shared" si="0"/>
        <v>0</v>
      </c>
      <c r="W25" s="3">
        <f t="shared" si="21"/>
        <v>6</v>
      </c>
      <c r="X25" s="4">
        <f t="shared" si="22"/>
        <v>5</v>
      </c>
      <c r="Y25" s="4">
        <f t="shared" si="23"/>
        <v>0</v>
      </c>
      <c r="Z25" s="4">
        <f t="shared" si="24"/>
        <v>0</v>
      </c>
      <c r="AA25">
        <f t="shared" si="25"/>
        <v>0</v>
      </c>
      <c r="AB25">
        <f t="shared" si="26"/>
        <v>0</v>
      </c>
      <c r="AC25">
        <f t="shared" si="27"/>
        <v>4</v>
      </c>
      <c r="AD25">
        <f t="shared" si="28"/>
        <v>0</v>
      </c>
      <c r="AE25">
        <f t="shared" si="29"/>
        <v>1</v>
      </c>
      <c r="AF25">
        <f t="shared" si="30"/>
        <v>0</v>
      </c>
      <c r="AG25">
        <f t="shared" si="31"/>
        <v>1</v>
      </c>
      <c r="AH25">
        <f t="shared" si="32"/>
        <v>0</v>
      </c>
      <c r="AI25">
        <v>45</v>
      </c>
      <c r="AJ25" t="s">
        <v>136</v>
      </c>
      <c r="AK25">
        <v>1</v>
      </c>
      <c r="AM25">
        <v>45</v>
      </c>
      <c r="AN25" t="s">
        <v>136</v>
      </c>
      <c r="AY25">
        <v>30</v>
      </c>
      <c r="AZ25" t="s">
        <v>136</v>
      </c>
      <c r="BC25">
        <v>15</v>
      </c>
      <c r="BD25" t="s">
        <v>136</v>
      </c>
      <c r="CY25">
        <v>14</v>
      </c>
      <c r="CZ25" t="s">
        <v>136</v>
      </c>
      <c r="DC25">
        <v>12</v>
      </c>
      <c r="DD25" t="s">
        <v>136</v>
      </c>
      <c r="DG25">
        <v>15</v>
      </c>
      <c r="DH25" t="s">
        <v>136</v>
      </c>
      <c r="DL25" t="s">
        <v>139</v>
      </c>
      <c r="DO25">
        <v>13</v>
      </c>
      <c r="DP25" t="s">
        <v>136</v>
      </c>
      <c r="DS25">
        <v>10</v>
      </c>
      <c r="DT25" t="s">
        <v>136</v>
      </c>
      <c r="DX25" t="s">
        <v>139</v>
      </c>
      <c r="EA25">
        <v>13</v>
      </c>
      <c r="EB25" t="s">
        <v>136</v>
      </c>
      <c r="EF25" t="s">
        <v>139</v>
      </c>
      <c r="EJ25" t="s">
        <v>139</v>
      </c>
      <c r="EN25" t="s">
        <v>139</v>
      </c>
      <c r="ER25" t="s">
        <v>139</v>
      </c>
      <c r="EV25" t="s">
        <v>139</v>
      </c>
      <c r="FD25" t="s">
        <v>139</v>
      </c>
      <c r="GY25">
        <v>90</v>
      </c>
      <c r="GZ25" t="s">
        <v>110</v>
      </c>
      <c r="HA25">
        <v>1</v>
      </c>
      <c r="HD25" t="s">
        <v>139</v>
      </c>
      <c r="HG25">
        <v>25</v>
      </c>
      <c r="HH25" t="s">
        <v>136</v>
      </c>
      <c r="HK25">
        <v>90</v>
      </c>
      <c r="HL25" t="s">
        <v>110</v>
      </c>
      <c r="HM25">
        <v>3</v>
      </c>
      <c r="HO25">
        <v>70</v>
      </c>
      <c r="HP25" t="s">
        <v>110</v>
      </c>
      <c r="HT25" t="s">
        <v>139</v>
      </c>
      <c r="HX25" t="s">
        <v>138</v>
      </c>
      <c r="IY25">
        <v>90</v>
      </c>
      <c r="IZ25" t="s">
        <v>110</v>
      </c>
      <c r="JS25">
        <v>75</v>
      </c>
      <c r="JT25" t="s">
        <v>110</v>
      </c>
      <c r="JU25">
        <v>1</v>
      </c>
      <c r="PS25" s="3">
        <f t="shared" si="33"/>
        <v>10</v>
      </c>
      <c r="PT25" s="3">
        <f t="shared" si="34"/>
        <v>8</v>
      </c>
      <c r="PU25" s="3">
        <f t="shared" si="35"/>
        <v>2</v>
      </c>
      <c r="PV25">
        <f t="shared" si="1"/>
        <v>0</v>
      </c>
      <c r="PW25">
        <f t="shared" si="36"/>
        <v>4</v>
      </c>
    </row>
    <row r="26" spans="1:439" x14ac:dyDescent="0.2">
      <c r="A26" s="2" t="s">
        <v>135</v>
      </c>
      <c r="B26">
        <f t="shared" si="37"/>
        <v>1148</v>
      </c>
      <c r="C26">
        <f t="shared" si="2"/>
        <v>92</v>
      </c>
      <c r="D26">
        <f t="shared" si="3"/>
        <v>137</v>
      </c>
      <c r="E26">
        <f t="shared" si="4"/>
        <v>649</v>
      </c>
      <c r="F26">
        <f t="shared" si="5"/>
        <v>270</v>
      </c>
      <c r="G26">
        <f t="shared" si="6"/>
        <v>26</v>
      </c>
      <c r="H26" s="3">
        <f t="shared" si="7"/>
        <v>12</v>
      </c>
      <c r="I26" s="3">
        <f t="shared" si="8"/>
        <v>14</v>
      </c>
      <c r="J26" s="3">
        <f t="shared" si="9"/>
        <v>1</v>
      </c>
      <c r="K26">
        <f t="shared" si="10"/>
        <v>8</v>
      </c>
      <c r="L26" s="3">
        <f t="shared" si="11"/>
        <v>1</v>
      </c>
      <c r="M26" s="3">
        <f t="shared" si="12"/>
        <v>7</v>
      </c>
      <c r="N26" s="3">
        <f t="shared" si="13"/>
        <v>0</v>
      </c>
      <c r="O26">
        <f t="shared" si="14"/>
        <v>3</v>
      </c>
      <c r="P26" s="3">
        <f t="shared" si="15"/>
        <v>2</v>
      </c>
      <c r="Q26" s="3">
        <f t="shared" si="16"/>
        <v>1</v>
      </c>
      <c r="R26" s="3">
        <f t="shared" si="17"/>
        <v>1</v>
      </c>
      <c r="S26">
        <f t="shared" si="18"/>
        <v>8</v>
      </c>
      <c r="T26" s="3">
        <f t="shared" si="19"/>
        <v>8</v>
      </c>
      <c r="U26" s="3">
        <f t="shared" si="20"/>
        <v>0</v>
      </c>
      <c r="V26" s="3">
        <f t="shared" si="0"/>
        <v>0</v>
      </c>
      <c r="W26" s="3">
        <f t="shared" si="21"/>
        <v>4</v>
      </c>
      <c r="X26" s="4">
        <f t="shared" si="22"/>
        <v>3</v>
      </c>
      <c r="Y26" s="4">
        <f t="shared" si="23"/>
        <v>1</v>
      </c>
      <c r="Z26" s="4">
        <f t="shared" si="24"/>
        <v>1</v>
      </c>
      <c r="AA26">
        <f t="shared" si="25"/>
        <v>1</v>
      </c>
      <c r="AB26">
        <f t="shared" si="26"/>
        <v>1</v>
      </c>
      <c r="AC26">
        <f t="shared" si="27"/>
        <v>0</v>
      </c>
      <c r="AD26">
        <f t="shared" si="28"/>
        <v>0</v>
      </c>
      <c r="AE26">
        <f t="shared" si="29"/>
        <v>1</v>
      </c>
      <c r="AF26">
        <f t="shared" si="30"/>
        <v>0</v>
      </c>
      <c r="AG26">
        <f t="shared" si="31"/>
        <v>2</v>
      </c>
      <c r="AH26">
        <f t="shared" si="32"/>
        <v>0</v>
      </c>
      <c r="AI26">
        <v>45</v>
      </c>
      <c r="AJ26" t="s">
        <v>136</v>
      </c>
      <c r="AK26">
        <v>1</v>
      </c>
      <c r="AM26">
        <v>45</v>
      </c>
      <c r="AN26" t="s">
        <v>110</v>
      </c>
      <c r="AQ26">
        <v>45</v>
      </c>
      <c r="AR26" t="s">
        <v>136</v>
      </c>
      <c r="AU26">
        <v>30</v>
      </c>
      <c r="AV26" t="s">
        <v>136</v>
      </c>
      <c r="AY26">
        <v>30</v>
      </c>
      <c r="AZ26" t="s">
        <v>136</v>
      </c>
      <c r="BC26">
        <v>30</v>
      </c>
      <c r="BD26" t="s">
        <v>136</v>
      </c>
      <c r="BG26">
        <v>45</v>
      </c>
      <c r="BH26" t="s">
        <v>136</v>
      </c>
      <c r="CY26">
        <v>4</v>
      </c>
      <c r="CZ26" t="s">
        <v>136</v>
      </c>
      <c r="DC26">
        <v>12</v>
      </c>
      <c r="DD26" t="s">
        <v>136</v>
      </c>
      <c r="DG26">
        <v>15</v>
      </c>
      <c r="DH26" t="s">
        <v>136</v>
      </c>
      <c r="DK26">
        <v>13</v>
      </c>
      <c r="DL26" t="s">
        <v>110</v>
      </c>
      <c r="DP26" t="s">
        <v>139</v>
      </c>
      <c r="DT26" t="s">
        <v>139</v>
      </c>
      <c r="DX26" t="s">
        <v>139</v>
      </c>
      <c r="EB26" t="s">
        <v>139</v>
      </c>
      <c r="EF26" t="s">
        <v>139</v>
      </c>
      <c r="EJ26" t="s">
        <v>139</v>
      </c>
      <c r="EN26" t="s">
        <v>139</v>
      </c>
      <c r="ER26" t="s">
        <v>139</v>
      </c>
      <c r="EV26" t="s">
        <v>139</v>
      </c>
      <c r="EZ26" t="s">
        <v>139</v>
      </c>
      <c r="FD26" t="s">
        <v>139</v>
      </c>
      <c r="FH26" t="s">
        <v>139</v>
      </c>
      <c r="FL26" t="s">
        <v>139</v>
      </c>
      <c r="FP26" t="s">
        <v>139</v>
      </c>
      <c r="FT26" t="s">
        <v>139</v>
      </c>
      <c r="FX26" t="s">
        <v>139</v>
      </c>
      <c r="GB26" t="s">
        <v>139</v>
      </c>
      <c r="GE26">
        <v>26</v>
      </c>
      <c r="GF26" t="s">
        <v>136</v>
      </c>
      <c r="GG26">
        <v>1</v>
      </c>
      <c r="GI26">
        <v>9</v>
      </c>
      <c r="GJ26" t="s">
        <v>136</v>
      </c>
      <c r="GM26">
        <v>12</v>
      </c>
      <c r="GN26" t="s">
        <v>136</v>
      </c>
      <c r="GQ26">
        <v>1</v>
      </c>
      <c r="GR26" t="s">
        <v>136</v>
      </c>
      <c r="GT26">
        <v>1</v>
      </c>
      <c r="GY26">
        <v>72</v>
      </c>
      <c r="GZ26" t="s">
        <v>110</v>
      </c>
      <c r="HC26">
        <v>45</v>
      </c>
      <c r="HD26" t="s">
        <v>110</v>
      </c>
      <c r="HH26" t="s">
        <v>139</v>
      </c>
      <c r="HL26" t="s">
        <v>139</v>
      </c>
      <c r="HO26">
        <v>20</v>
      </c>
      <c r="HP26" t="s">
        <v>136</v>
      </c>
      <c r="HT26" t="s">
        <v>139</v>
      </c>
      <c r="HX26" t="s">
        <v>138</v>
      </c>
      <c r="JC26">
        <v>90</v>
      </c>
      <c r="JD26" t="s">
        <v>110</v>
      </c>
      <c r="JK26">
        <v>90</v>
      </c>
      <c r="JL26" t="s">
        <v>110</v>
      </c>
      <c r="JO26">
        <v>90</v>
      </c>
      <c r="JP26" t="s">
        <v>110</v>
      </c>
      <c r="JS26">
        <v>75</v>
      </c>
      <c r="JT26" t="s">
        <v>110</v>
      </c>
      <c r="JU26">
        <v>2</v>
      </c>
      <c r="KE26">
        <v>85</v>
      </c>
      <c r="KF26" t="s">
        <v>110</v>
      </c>
      <c r="KM26">
        <v>90</v>
      </c>
      <c r="KN26" t="s">
        <v>110</v>
      </c>
      <c r="KU26">
        <v>60</v>
      </c>
      <c r="KV26" t="s">
        <v>110</v>
      </c>
      <c r="LC26">
        <v>69</v>
      </c>
      <c r="LD26" t="s">
        <v>110</v>
      </c>
      <c r="PS26" s="3">
        <f t="shared" si="33"/>
        <v>20</v>
      </c>
      <c r="PT26" s="3">
        <f t="shared" si="34"/>
        <v>17</v>
      </c>
      <c r="PU26" s="3">
        <f t="shared" si="35"/>
        <v>3</v>
      </c>
      <c r="PV26">
        <f t="shared" si="1"/>
        <v>0</v>
      </c>
      <c r="PW26">
        <f t="shared" si="36"/>
        <v>7</v>
      </c>
    </row>
    <row r="27" spans="1:439" x14ac:dyDescent="0.2">
      <c r="A27" s="2" t="s">
        <v>134</v>
      </c>
      <c r="B27">
        <f t="shared" si="37"/>
        <v>2107</v>
      </c>
      <c r="C27">
        <f t="shared" si="2"/>
        <v>1612</v>
      </c>
      <c r="D27">
        <f t="shared" si="3"/>
        <v>450</v>
      </c>
      <c r="E27">
        <f t="shared" si="4"/>
        <v>0</v>
      </c>
      <c r="F27">
        <f t="shared" si="5"/>
        <v>45</v>
      </c>
      <c r="G27">
        <f t="shared" si="6"/>
        <v>24</v>
      </c>
      <c r="H27" s="3">
        <f t="shared" si="7"/>
        <v>24</v>
      </c>
      <c r="I27" s="3">
        <f t="shared" si="8"/>
        <v>0</v>
      </c>
      <c r="J27" s="3">
        <f t="shared" si="9"/>
        <v>1</v>
      </c>
      <c r="K27">
        <f t="shared" si="10"/>
        <v>18</v>
      </c>
      <c r="L27" s="3">
        <f t="shared" si="11"/>
        <v>18</v>
      </c>
      <c r="M27" s="3">
        <f t="shared" si="12"/>
        <v>0</v>
      </c>
      <c r="N27" s="3">
        <f t="shared" si="13"/>
        <v>1</v>
      </c>
      <c r="O27">
        <f t="shared" si="14"/>
        <v>5</v>
      </c>
      <c r="P27" s="3">
        <f t="shared" si="15"/>
        <v>5</v>
      </c>
      <c r="Q27" s="3">
        <f t="shared" si="16"/>
        <v>0</v>
      </c>
      <c r="R27" s="3">
        <f t="shared" si="17"/>
        <v>0</v>
      </c>
      <c r="S27">
        <f t="shared" si="18"/>
        <v>0</v>
      </c>
      <c r="T27" s="3">
        <f t="shared" si="19"/>
        <v>0</v>
      </c>
      <c r="U27" s="3">
        <f t="shared" si="20"/>
        <v>0</v>
      </c>
      <c r="V27" s="3">
        <f t="shared" si="0"/>
        <v>0</v>
      </c>
      <c r="W27" s="3">
        <f t="shared" si="21"/>
        <v>0</v>
      </c>
      <c r="X27" s="4">
        <f t="shared" si="22"/>
        <v>0</v>
      </c>
      <c r="Y27" s="4">
        <f t="shared" si="23"/>
        <v>2</v>
      </c>
      <c r="Z27" s="4">
        <f t="shared" si="24"/>
        <v>2</v>
      </c>
      <c r="AA27">
        <f t="shared" si="25"/>
        <v>0</v>
      </c>
      <c r="AB27">
        <f t="shared" si="26"/>
        <v>2</v>
      </c>
      <c r="AC27">
        <f t="shared" si="27"/>
        <v>0</v>
      </c>
      <c r="AD27">
        <f t="shared" si="28"/>
        <v>0</v>
      </c>
      <c r="AE27">
        <f t="shared" si="29"/>
        <v>0</v>
      </c>
      <c r="AF27">
        <f t="shared" si="30"/>
        <v>0</v>
      </c>
      <c r="AG27">
        <f t="shared" si="31"/>
        <v>0</v>
      </c>
      <c r="AH27">
        <f t="shared" si="32"/>
        <v>0</v>
      </c>
      <c r="BG27">
        <v>45</v>
      </c>
      <c r="BH27" t="s">
        <v>110</v>
      </c>
      <c r="DH27" t="s">
        <v>139</v>
      </c>
      <c r="DL27" t="s">
        <v>139</v>
      </c>
      <c r="DP27" t="s">
        <v>139</v>
      </c>
      <c r="DS27">
        <v>90</v>
      </c>
      <c r="DT27" t="s">
        <v>110</v>
      </c>
      <c r="DW27">
        <v>90</v>
      </c>
      <c r="DX27" t="s">
        <v>110</v>
      </c>
      <c r="EA27">
        <v>90</v>
      </c>
      <c r="EB27" t="s">
        <v>110</v>
      </c>
      <c r="EE27">
        <v>90</v>
      </c>
      <c r="EF27" t="s">
        <v>110</v>
      </c>
      <c r="EI27">
        <v>90</v>
      </c>
      <c r="EJ27" t="s">
        <v>110</v>
      </c>
      <c r="EM27">
        <v>90</v>
      </c>
      <c r="EN27" t="s">
        <v>110</v>
      </c>
      <c r="EQ27">
        <v>89</v>
      </c>
      <c r="ER27" t="s">
        <v>110</v>
      </c>
      <c r="EU27">
        <v>90</v>
      </c>
      <c r="EV27" t="s">
        <v>110</v>
      </c>
      <c r="EY27">
        <v>90</v>
      </c>
      <c r="EZ27" t="s">
        <v>110</v>
      </c>
      <c r="FC27">
        <v>83</v>
      </c>
      <c r="FD27" t="s">
        <v>110</v>
      </c>
      <c r="FF27">
        <v>1</v>
      </c>
      <c r="FG27">
        <v>90</v>
      </c>
      <c r="FH27" t="s">
        <v>110</v>
      </c>
      <c r="FK27">
        <v>90</v>
      </c>
      <c r="FL27" t="s">
        <v>110</v>
      </c>
      <c r="FN27">
        <v>1</v>
      </c>
      <c r="FO27">
        <v>90</v>
      </c>
      <c r="FP27" t="s">
        <v>110</v>
      </c>
      <c r="FS27">
        <v>90</v>
      </c>
      <c r="FT27" t="s">
        <v>110</v>
      </c>
      <c r="FW27">
        <v>90</v>
      </c>
      <c r="FX27" t="s">
        <v>110</v>
      </c>
      <c r="GA27">
        <v>90</v>
      </c>
      <c r="GB27" t="s">
        <v>110</v>
      </c>
      <c r="GF27" t="s">
        <v>138</v>
      </c>
      <c r="GJ27" t="s">
        <v>139</v>
      </c>
      <c r="GM27">
        <v>90</v>
      </c>
      <c r="GN27" t="s">
        <v>110</v>
      </c>
      <c r="GQ27">
        <v>90</v>
      </c>
      <c r="GR27" t="s">
        <v>110</v>
      </c>
      <c r="HD27" t="s">
        <v>139</v>
      </c>
      <c r="HG27">
        <v>90</v>
      </c>
      <c r="HH27" t="s">
        <v>110</v>
      </c>
      <c r="HK27">
        <v>90</v>
      </c>
      <c r="HL27" t="s">
        <v>110</v>
      </c>
      <c r="HO27">
        <v>90</v>
      </c>
      <c r="HP27" t="s">
        <v>110</v>
      </c>
      <c r="HS27">
        <v>90</v>
      </c>
      <c r="HT27" t="s">
        <v>110</v>
      </c>
      <c r="HW27">
        <v>90</v>
      </c>
      <c r="HX27" t="s">
        <v>110</v>
      </c>
      <c r="PS27" s="3">
        <f t="shared" si="33"/>
        <v>5</v>
      </c>
      <c r="PT27" s="3">
        <f t="shared" si="34"/>
        <v>4</v>
      </c>
      <c r="PU27" s="3">
        <f t="shared" si="35"/>
        <v>1</v>
      </c>
      <c r="PV27">
        <f t="shared" si="1"/>
        <v>0</v>
      </c>
      <c r="PW27">
        <f t="shared" si="36"/>
        <v>1</v>
      </c>
    </row>
    <row r="28" spans="1:439" x14ac:dyDescent="0.2">
      <c r="A28" s="2" t="s">
        <v>141</v>
      </c>
      <c r="B28">
        <f t="shared" si="37"/>
        <v>1550</v>
      </c>
      <c r="C28">
        <f t="shared" si="2"/>
        <v>640</v>
      </c>
      <c r="D28">
        <f t="shared" si="3"/>
        <v>400</v>
      </c>
      <c r="E28">
        <f t="shared" si="4"/>
        <v>420</v>
      </c>
      <c r="F28">
        <f t="shared" si="5"/>
        <v>90</v>
      </c>
      <c r="G28">
        <f t="shared" si="6"/>
        <v>21</v>
      </c>
      <c r="H28" s="3">
        <f t="shared" si="7"/>
        <v>18</v>
      </c>
      <c r="I28" s="3">
        <f t="shared" si="8"/>
        <v>3</v>
      </c>
      <c r="J28" s="3">
        <f t="shared" si="9"/>
        <v>2</v>
      </c>
      <c r="K28">
        <f t="shared" si="10"/>
        <v>10</v>
      </c>
      <c r="L28" s="3">
        <f t="shared" si="11"/>
        <v>7</v>
      </c>
      <c r="M28" s="3">
        <f t="shared" si="12"/>
        <v>3</v>
      </c>
      <c r="N28" s="3">
        <f t="shared" si="13"/>
        <v>2</v>
      </c>
      <c r="O28">
        <f t="shared" si="14"/>
        <v>5</v>
      </c>
      <c r="P28" s="3">
        <f t="shared" si="15"/>
        <v>5</v>
      </c>
      <c r="Q28" s="3">
        <f t="shared" si="16"/>
        <v>0</v>
      </c>
      <c r="R28" s="3">
        <f t="shared" si="17"/>
        <v>0</v>
      </c>
      <c r="S28">
        <f t="shared" si="18"/>
        <v>5</v>
      </c>
      <c r="T28" s="3">
        <f t="shared" si="19"/>
        <v>5</v>
      </c>
      <c r="U28" s="3">
        <f t="shared" si="20"/>
        <v>0</v>
      </c>
      <c r="V28" s="3">
        <f t="shared" si="0"/>
        <v>0</v>
      </c>
      <c r="W28" s="3">
        <f t="shared" si="21"/>
        <v>1</v>
      </c>
      <c r="X28" s="4">
        <f t="shared" si="22"/>
        <v>1</v>
      </c>
      <c r="Y28" s="4">
        <f t="shared" si="23"/>
        <v>3</v>
      </c>
      <c r="Z28" s="4">
        <f t="shared" si="24"/>
        <v>3</v>
      </c>
      <c r="AA28">
        <f t="shared" si="25"/>
        <v>0</v>
      </c>
      <c r="AB28">
        <f t="shared" si="26"/>
        <v>1</v>
      </c>
      <c r="AC28">
        <f t="shared" si="27"/>
        <v>1</v>
      </c>
      <c r="AD28">
        <f t="shared" si="28"/>
        <v>2</v>
      </c>
      <c r="AE28">
        <f t="shared" si="29"/>
        <v>0</v>
      </c>
      <c r="AF28">
        <f t="shared" si="30"/>
        <v>0</v>
      </c>
      <c r="AG28">
        <f t="shared" si="31"/>
        <v>0</v>
      </c>
      <c r="AH28">
        <f t="shared" si="32"/>
        <v>0</v>
      </c>
      <c r="BG28">
        <v>90</v>
      </c>
      <c r="BH28" t="s">
        <v>110</v>
      </c>
      <c r="DK28">
        <v>24</v>
      </c>
      <c r="DL28" t="s">
        <v>110</v>
      </c>
      <c r="DO28">
        <v>50</v>
      </c>
      <c r="DP28" t="s">
        <v>136</v>
      </c>
      <c r="DR28">
        <v>1</v>
      </c>
      <c r="DS28">
        <v>90</v>
      </c>
      <c r="DT28" t="s">
        <v>110</v>
      </c>
      <c r="DW28">
        <v>90</v>
      </c>
      <c r="DX28" t="s">
        <v>110</v>
      </c>
      <c r="EA28">
        <v>90</v>
      </c>
      <c r="EB28" t="s">
        <v>110</v>
      </c>
      <c r="EE28">
        <v>75</v>
      </c>
      <c r="EF28" t="s">
        <v>110</v>
      </c>
      <c r="EI28">
        <v>90</v>
      </c>
      <c r="EJ28" t="s">
        <v>110</v>
      </c>
      <c r="EM28">
        <v>11</v>
      </c>
      <c r="EN28" t="s">
        <v>136</v>
      </c>
      <c r="EQ28">
        <v>90</v>
      </c>
      <c r="ER28" t="s">
        <v>110</v>
      </c>
      <c r="EU28">
        <v>30</v>
      </c>
      <c r="EV28" t="s">
        <v>136</v>
      </c>
      <c r="EZ28" t="s">
        <v>139</v>
      </c>
      <c r="FD28" t="s">
        <v>139</v>
      </c>
      <c r="FH28" t="s">
        <v>139</v>
      </c>
      <c r="FP28" t="s">
        <v>138</v>
      </c>
      <c r="FT28" t="s">
        <v>138</v>
      </c>
      <c r="FX28" t="s">
        <v>139</v>
      </c>
      <c r="GY28">
        <v>79</v>
      </c>
      <c r="GZ28" t="s">
        <v>110</v>
      </c>
      <c r="HC28">
        <v>77</v>
      </c>
      <c r="HD28" t="s">
        <v>110</v>
      </c>
      <c r="HG28">
        <v>90</v>
      </c>
      <c r="HH28" t="s">
        <v>110</v>
      </c>
      <c r="HK28">
        <v>64</v>
      </c>
      <c r="HL28" t="s">
        <v>110</v>
      </c>
      <c r="HN28">
        <v>2</v>
      </c>
      <c r="HP28" t="s">
        <v>139</v>
      </c>
      <c r="HS28">
        <v>90</v>
      </c>
      <c r="HT28" t="s">
        <v>110</v>
      </c>
      <c r="HU28">
        <v>1</v>
      </c>
      <c r="HX28" t="s">
        <v>139</v>
      </c>
      <c r="IU28">
        <v>90</v>
      </c>
      <c r="IV28" t="s">
        <v>110</v>
      </c>
      <c r="KM28">
        <v>75</v>
      </c>
      <c r="KN28" t="s">
        <v>110</v>
      </c>
      <c r="KQ28">
        <v>90</v>
      </c>
      <c r="KR28" t="s">
        <v>110</v>
      </c>
      <c r="KU28">
        <v>75</v>
      </c>
      <c r="KV28" t="s">
        <v>110</v>
      </c>
      <c r="KY28">
        <v>90</v>
      </c>
      <c r="KZ28" t="s">
        <v>110</v>
      </c>
      <c r="PS28" s="3">
        <f t="shared" si="33"/>
        <v>6</v>
      </c>
      <c r="PT28" s="3">
        <f t="shared" si="34"/>
        <v>4</v>
      </c>
      <c r="PU28" s="3">
        <f t="shared" si="35"/>
        <v>2</v>
      </c>
      <c r="PV28">
        <f t="shared" si="1"/>
        <v>0</v>
      </c>
      <c r="PW28">
        <f t="shared" si="36"/>
        <v>1</v>
      </c>
    </row>
    <row r="29" spans="1:439" x14ac:dyDescent="0.2">
      <c r="A29" s="2" t="s">
        <v>142</v>
      </c>
      <c r="B29">
        <f t="shared" si="37"/>
        <v>1366</v>
      </c>
      <c r="C29">
        <f t="shared" si="2"/>
        <v>1126</v>
      </c>
      <c r="D29">
        <f t="shared" si="3"/>
        <v>105</v>
      </c>
      <c r="E29">
        <f t="shared" si="4"/>
        <v>90</v>
      </c>
      <c r="F29">
        <f t="shared" si="5"/>
        <v>45</v>
      </c>
      <c r="G29">
        <f t="shared" si="6"/>
        <v>22</v>
      </c>
      <c r="H29" s="3">
        <f t="shared" si="7"/>
        <v>16</v>
      </c>
      <c r="I29" s="3">
        <f t="shared" si="8"/>
        <v>6</v>
      </c>
      <c r="J29" s="3">
        <f t="shared" si="9"/>
        <v>2</v>
      </c>
      <c r="K29">
        <f t="shared" si="10"/>
        <v>18</v>
      </c>
      <c r="L29" s="3">
        <f t="shared" si="11"/>
        <v>14</v>
      </c>
      <c r="M29" s="3">
        <f t="shared" si="12"/>
        <v>4</v>
      </c>
      <c r="N29" s="3">
        <f t="shared" si="13"/>
        <v>1</v>
      </c>
      <c r="O29">
        <f t="shared" si="14"/>
        <v>2</v>
      </c>
      <c r="P29" s="3">
        <f t="shared" si="15"/>
        <v>1</v>
      </c>
      <c r="Q29" s="3">
        <f t="shared" si="16"/>
        <v>1</v>
      </c>
      <c r="R29" s="3">
        <f t="shared" si="17"/>
        <v>1</v>
      </c>
      <c r="S29">
        <f t="shared" si="18"/>
        <v>1</v>
      </c>
      <c r="T29" s="3">
        <f t="shared" si="19"/>
        <v>1</v>
      </c>
      <c r="U29" s="3">
        <f t="shared" si="20"/>
        <v>0</v>
      </c>
      <c r="V29" s="3">
        <f t="shared" si="0"/>
        <v>0</v>
      </c>
      <c r="W29" s="3">
        <f t="shared" si="21"/>
        <v>1</v>
      </c>
      <c r="X29" s="4">
        <f t="shared" si="22"/>
        <v>1</v>
      </c>
      <c r="Y29" s="4">
        <f t="shared" si="23"/>
        <v>1</v>
      </c>
      <c r="Z29" s="4">
        <f t="shared" si="24"/>
        <v>1</v>
      </c>
      <c r="AA29">
        <f t="shared" si="25"/>
        <v>1</v>
      </c>
      <c r="AB29">
        <f t="shared" si="26"/>
        <v>1</v>
      </c>
      <c r="AC29">
        <f t="shared" si="27"/>
        <v>0</v>
      </c>
      <c r="AD29">
        <f t="shared" si="28"/>
        <v>0</v>
      </c>
      <c r="AE29">
        <f t="shared" si="29"/>
        <v>0</v>
      </c>
      <c r="AF29">
        <f t="shared" si="30"/>
        <v>0</v>
      </c>
      <c r="AG29">
        <f t="shared" si="31"/>
        <v>0</v>
      </c>
      <c r="AH29">
        <f t="shared" si="32"/>
        <v>0</v>
      </c>
      <c r="BG29">
        <v>45</v>
      </c>
      <c r="BH29" t="s">
        <v>136</v>
      </c>
      <c r="DK29">
        <v>90</v>
      </c>
      <c r="DL29" t="s">
        <v>110</v>
      </c>
      <c r="DO29">
        <v>45</v>
      </c>
      <c r="DP29" t="s">
        <v>110</v>
      </c>
      <c r="EE29">
        <v>8</v>
      </c>
      <c r="EF29" t="s">
        <v>136</v>
      </c>
      <c r="EI29">
        <v>1</v>
      </c>
      <c r="EJ29" t="s">
        <v>136</v>
      </c>
      <c r="EM29">
        <v>61</v>
      </c>
      <c r="EN29" t="s">
        <v>110</v>
      </c>
      <c r="ER29" t="s">
        <v>138</v>
      </c>
      <c r="EU29">
        <v>23</v>
      </c>
      <c r="EV29" t="s">
        <v>136</v>
      </c>
      <c r="EX29">
        <v>1</v>
      </c>
      <c r="EY29">
        <v>90</v>
      </c>
      <c r="EZ29" t="s">
        <v>110</v>
      </c>
      <c r="FC29">
        <v>21</v>
      </c>
      <c r="FD29" t="s">
        <v>136</v>
      </c>
      <c r="FG29">
        <v>90</v>
      </c>
      <c r="FH29" t="s">
        <v>110</v>
      </c>
      <c r="FK29">
        <v>52</v>
      </c>
      <c r="FL29" t="s">
        <v>110</v>
      </c>
      <c r="FO29">
        <v>68</v>
      </c>
      <c r="FP29" t="s">
        <v>110</v>
      </c>
      <c r="FS29">
        <v>71</v>
      </c>
      <c r="FT29" t="s">
        <v>110</v>
      </c>
      <c r="FW29">
        <v>90</v>
      </c>
      <c r="FX29" t="s">
        <v>110</v>
      </c>
      <c r="FY29">
        <v>1</v>
      </c>
      <c r="GA29">
        <v>82</v>
      </c>
      <c r="GB29" t="s">
        <v>110</v>
      </c>
      <c r="GE29">
        <v>64</v>
      </c>
      <c r="GF29" t="s">
        <v>110</v>
      </c>
      <c r="GI29">
        <v>90</v>
      </c>
      <c r="GJ29" t="s">
        <v>110</v>
      </c>
      <c r="GM29">
        <v>90</v>
      </c>
      <c r="GN29" t="s">
        <v>110</v>
      </c>
      <c r="GQ29">
        <v>90</v>
      </c>
      <c r="GR29" t="s">
        <v>110</v>
      </c>
      <c r="HC29">
        <v>90</v>
      </c>
      <c r="HD29" t="s">
        <v>110</v>
      </c>
      <c r="HH29" t="s">
        <v>139</v>
      </c>
      <c r="HL29" t="s">
        <v>139</v>
      </c>
      <c r="HP29" t="s">
        <v>139</v>
      </c>
      <c r="HS29">
        <v>15</v>
      </c>
      <c r="HT29" t="s">
        <v>136</v>
      </c>
      <c r="HX29" t="s">
        <v>138</v>
      </c>
      <c r="KA29">
        <v>90</v>
      </c>
      <c r="KB29" t="s">
        <v>110</v>
      </c>
      <c r="PS29" s="3">
        <f t="shared" si="33"/>
        <v>3</v>
      </c>
      <c r="PT29" s="3">
        <f t="shared" si="34"/>
        <v>0</v>
      </c>
      <c r="PU29" s="3">
        <f t="shared" si="35"/>
        <v>3</v>
      </c>
      <c r="PV29">
        <f t="shared" si="1"/>
        <v>0</v>
      </c>
      <c r="PW29">
        <f t="shared" si="36"/>
        <v>1</v>
      </c>
    </row>
    <row r="30" spans="1:439" x14ac:dyDescent="0.2">
      <c r="A30" s="2" t="s">
        <v>149</v>
      </c>
      <c r="B30">
        <f t="shared" ref="B30" si="67">SUM(AI30,AM30,AQ30,AU30,AY30,BC30,BG30,BK30,BO30,BS30,BW30,CA30,CE30,CI30,CM30,CQ30,CU30,CY30,DC30,DG30,DK30,DO30,DS30,DW30,EA30,EE30,EI30,EM30,EQ30,EU30,EY30,FC30,FG30,FK30,FO30,FS30,FW30,GA30,GE30,GI30,GM30,GQ30,GU30,GY30,HC30,HG30,HK30,HO30,HS30,HW30,IA30,IE30,II30,IM30,IQ30,IU30,IY30,JC30,JG30,JK30,JO30,JS30,JW30,KA30,KE30,KI30,KM30,KQ30,KU30,KY30,LC30,LG30,LK30,LO30,LS30,LW30,MA30,ME30,MI30,MM30,MQ30,MU30,MY30,NC30,NG30,NK30,NO30,NS30,NW30,OA30,OE30,OI30,OM30,OQ30,OU30,OY30,PC30,PG30,PK30,PO30)</f>
        <v>569</v>
      </c>
      <c r="C30">
        <f t="shared" ref="C30" si="68">SUM(CY30,DC30,DG30,DK30,DO30,DS30,DW30,EA30,EE30,EI30,EM30,EQ30,EU30,EY30,FC30,FG30,FK30,FO30,FS30,FW30,GA30,GE30,GI30,GM30,GQ30,GU30)</f>
        <v>344</v>
      </c>
      <c r="D30">
        <f t="shared" ref="D30" si="69">SUM(GY30,HC30,HG30,HK30,HO30,HS30,HW30,IA30,IE30,II30,IM30,IQ30)</f>
        <v>0</v>
      </c>
      <c r="E30">
        <f t="shared" ref="E30" si="70">SUM(IU30,IY30,JC30,JG30,JK30,JO30,JS30,JW30,KA30,KE30,KI30,KM30,KQ30,KU30,KY30,LC30,LG30,LK30,LO30,LS30,LW30,MA30,ME30,MI30,MM30,MQ30,MU30,MY30,NC30,NG30,NK30,NO30,NS30,NW30,OA30,OE30,OI30,OM30,OQ30,OU30,OY30,PC30,PG30,PK30,PO30)</f>
        <v>180</v>
      </c>
      <c r="F30">
        <f t="shared" si="5"/>
        <v>45</v>
      </c>
      <c r="G30">
        <f t="shared" ref="G30" si="71">SUM(H30:I30)</f>
        <v>11</v>
      </c>
      <c r="H30" s="3">
        <f t="shared" ref="H30" si="72">COUNTIF(AI30:PR30,"T")</f>
        <v>6</v>
      </c>
      <c r="I30" s="3">
        <f t="shared" ref="I30" si="73">COUNTIF(AI30:PR30,"R")</f>
        <v>5</v>
      </c>
      <c r="J30" s="3">
        <f t="shared" ref="J30" si="74">COUNTIF(AI30:PR30,"NR")</f>
        <v>0</v>
      </c>
      <c r="K30">
        <f t="shared" ref="K30" si="75">SUM(L30:M30)</f>
        <v>8</v>
      </c>
      <c r="L30" s="3">
        <f t="shared" ref="L30" si="76">COUNTIF(CY30:GX30,"T")</f>
        <v>4</v>
      </c>
      <c r="M30" s="3">
        <f t="shared" ref="M30" si="77">COUNTIF(CY30:GX30,"R")</f>
        <v>4</v>
      </c>
      <c r="N30" s="3">
        <f t="shared" ref="N30" si="78">COUNTIF(CY30:GX30,"NR")</f>
        <v>0</v>
      </c>
      <c r="O30">
        <f t="shared" ref="O30" si="79">SUM(P30:Q30)</f>
        <v>0</v>
      </c>
      <c r="P30" s="3">
        <f t="shared" ref="P30" si="80">COUNTIF(GY30:IT30,"T")</f>
        <v>0</v>
      </c>
      <c r="Q30" s="3">
        <f t="shared" ref="Q30" si="81">COUNTIF(GY30:IT30,"R")</f>
        <v>0</v>
      </c>
      <c r="R30" s="3">
        <f t="shared" ref="R30" si="82">COUNTIF(GY30:IT30,"NR")</f>
        <v>0</v>
      </c>
      <c r="S30">
        <f t="shared" ref="S30" si="83">SUM(T30:U30)</f>
        <v>2</v>
      </c>
      <c r="T30" s="3">
        <f t="shared" ref="T30" si="84">COUNTIF(IU30:PR30,"T")</f>
        <v>2</v>
      </c>
      <c r="U30" s="3">
        <f t="shared" ref="U30" si="85">COUNTIF(IU30:PR30,"R")</f>
        <v>0</v>
      </c>
      <c r="V30" s="3">
        <f t="shared" ref="V30" si="86">COUNTIF(IU:PR,"NR")</f>
        <v>0</v>
      </c>
      <c r="W30" s="3">
        <f t="shared" ref="W30" si="87">SUM(AK30,AO30,AS30,AW30,BA30,BE30,BI30,BM30,BQ30,BU30,BY30,CC30,CG30,CK30,CO30,CS30,CW30,DA30,DE30,DI30,DM30,DQ30,DU30,DY30,EC30,EG30,EK30,EO30,ES30,EW30,FA30,FE30,FI30,FM30,FQ30,FU30,FY30,GC30,GG30,GK30,GO30,GS30,GW30,HA30,HE30,HI30,HM30,HQ30,HU30,HY30,IC30,IG30,IK30,IO30,IS30,IW30,JA30,JE30,JI30,JM30,JQ30,JU30,JY30,KC30,KG30,KK30,KO30,KS30,KW30,LA30,LE30,LI30,LM30,LQ30,LU30,LY30,MC30,MG30,MK30,MO30,MS30,MW30,NA30,NE30,NI30,NM30,NQ30,NU30,NY30,OC30,OG30,OK30,OO30,OS30,OW30,PA30,PE30,PI30,PM30,PQ30)</f>
        <v>0</v>
      </c>
      <c r="X30" s="4">
        <f t="shared" ref="X30" si="88">SUM(DA30,DE30,DI30,DM30,DQ30,DU30,DY30,EC30,EG30,EK30,EO30,ES30,EW30,FA30,FE30,FI30,FM30,FQ30,FU30,FY30,GC30,GG30,GK30,GO30,GS30,GW30,HA30,HE30,HI30,HM30,HQ30,HU30,HY30,IC30,IG30,IK30,IO30,IS30,IW30,JA30,JE30,JI30,JM30,JQ30,JU30,JY30,KC30,KG30,KK30,KO30,KS30,KW30,LA30,LE30,LI30,LM30,LQ30,LU30,LY30,MC30,MG30,MK30,MO30,MS30,MW30,NA30,NE30,NI30,NM30,NQ30,NU30,NY30,OC30,OG30,OK30,OO30,OS30,OW30,PA30,PE30,PI30,PM30,PQ30)</f>
        <v>0</v>
      </c>
      <c r="Y30" s="4">
        <f t="shared" ref="Y30" si="89">SUM(AL30,AP30,AT30,AX30,BB30,BF30,BJ30,BN30,BR30,BV30,BZ30,CD30,CH30,CL30,CP30,CT30,CX30,DB30,DF30,DJ30,DN30,DR30,DV30,DZ30,ED30,EH30,EL30,EP30,ET30,EX30,FB30,FF30,FJ30,FN30,FR30,FV30,FZ30,GD30,GH30,GL30,GP30,GT30,GX30,HB30,HF30,HJ30,HN30,HR30,HV30,HZ30,ID30,IH30,IL30,IP30,IT30,IX30,JB30,JF30,JJ30,JN30,JR30,JV30,JZ30,KD30,KH30,KL30,KP30,KT30,KX30,LB30,LF30,LJ30,LN30,LR30,LV30,LZ30,MD30,MH30,ML30,MP30,MT30,MX30,NB30,NF30,NJ30,NN30,NR30,NV30,NZ30,OD30,OH30,OL30,OP30,OT30,OX30,PB30,PF30,PJ30,PN30,PR30)</f>
        <v>0</v>
      </c>
      <c r="Z30" s="4">
        <f t="shared" ref="Z30" si="90">SUM(DB30,DF30,DJ30,DN30,DR30,DV30,DZ30,ED30,EH30,EL30,EP30,ET30,EX30,FB30,FF30,FJ30,FN30,FR30,FV30,FZ30,GD30,GH30,GL30,GP30,GT30,GX30,HB30,HF30,HJ30,HN30,HR30,HV30,HZ30,ID30,IH30,IL30,IP30,IT30,IX30,JB30,JF30,JJ30,JN30,JR30,JV30,JZ30,KD30,KH30,KL30,KP30,KT30,KX30,LB30,LF30,LJ30,LN30,LR30,LV30,LZ30,MD30,MH30,ML30,MP30,MT30,MX30,NB30,NF30,NJ30,NN30,NR30,NV30,NZ30,OD30,OH30,OL30,OP30,OT30,OX30,PB30,PF30,PJ30,PN30,PR30)</f>
        <v>0</v>
      </c>
      <c r="AA30">
        <f t="shared" ref="AA30" si="91">SUM(DA30,DE30,DI30,DM30,DQ30,DU30,DY30,EC30,EG30,EK30,EO30,ES30,EW30,FA30,FE30,FI30,FM30,FQ30,FU30,FY30,GC30,GG30,GK30,GO30,GS30,GW30)</f>
        <v>0</v>
      </c>
      <c r="AB30">
        <f t="shared" ref="AB30" si="92">SUM(DB30,DF30,DJ30,DN30,DR30,DV30,DZ30,ED30,EH30,EL30,EP30,ET30,EX30,FB30,FF30,FJ30,FN30,FR30,FV30,FZ30,GD30,GH30,GL30,GP30,GT30,GX30)</f>
        <v>0</v>
      </c>
      <c r="AC30">
        <f t="shared" ref="AC30" si="93">SUM(HA30,HE30,HI30,HM30,HQ30,HU30,HY30,IC30,IG30,IK30,IO30,IS30)</f>
        <v>0</v>
      </c>
      <c r="AD30">
        <f t="shared" ref="AD30" si="94">SUM(HB30,HF30,HJ30,HN30,HR30,HV30,HZ30,ID30,IH30,IL30,IP30,IT30)</f>
        <v>0</v>
      </c>
      <c r="AE30">
        <f t="shared" ref="AE30" si="95">SUM(AK30,AO30,AS30,AW30,BA30,BE30,BI30,BM30,BQ30,BU30,BY30,CC30,CG30,CK30,CO30,CS30,CW30)</f>
        <v>0</v>
      </c>
      <c r="AF30">
        <f t="shared" ref="AF30" si="96">SUM(AL30,AP30,AT30,AX30,BB30,BF30,BJ30,BN30,BR30,BV30,BZ30,CD30,CH30,CL30,CP30,CT30,CX30)</f>
        <v>0</v>
      </c>
      <c r="AG30">
        <f t="shared" ref="AG30" si="97">SUM(IW30,JA30,JE30,JI30,JM30,JQ30,JU30,JY30,KC30,KG30,KK30,KO30,KS30,KW30,LA30,LE30,LI30,LM30,LQ30,LU30,LY30,MC30,MG30,MK30,MO30,MS30,MW30,NA30,NE30,NI30,NM30,NQ30,NU30,NY30,OC30,OG30,OK30,OO30,OS30,OW30,PA30,PE30,PI30,PM30,PQ30)</f>
        <v>0</v>
      </c>
      <c r="AH30">
        <f t="shared" ref="AH30" si="98">SUM(IX30,JB30,JF30,JJ30,JN30,JR30,JV30,JZ30,KD30,KH30,KL30,KP30,KT30,KX30,LB30,LF30,LJ30,LN30,LR30,LV30,LZ30,MD30,MH30,ML30,MP30,MT30,MX30,NB30,NF30,NJ30,NN30,NR30,NV30,NZ30,OD30,OH30,OL30,OP30,OT30,OX30,PB30,PF30,PJ30,PN30,PR30)</f>
        <v>0</v>
      </c>
      <c r="BG30">
        <v>45</v>
      </c>
      <c r="BH30" t="s">
        <v>136</v>
      </c>
      <c r="EN30" t="s">
        <v>139</v>
      </c>
      <c r="EQ30">
        <v>1</v>
      </c>
      <c r="ER30" t="s">
        <v>136</v>
      </c>
      <c r="EU30">
        <v>45</v>
      </c>
      <c r="EV30" t="s">
        <v>136</v>
      </c>
      <c r="EY30">
        <v>63</v>
      </c>
      <c r="EZ30" t="s">
        <v>110</v>
      </c>
      <c r="FC30">
        <v>45</v>
      </c>
      <c r="FD30" t="s">
        <v>136</v>
      </c>
      <c r="FG30">
        <v>72</v>
      </c>
      <c r="FH30" t="s">
        <v>110</v>
      </c>
      <c r="FL30" t="s">
        <v>139</v>
      </c>
      <c r="FO30">
        <v>45</v>
      </c>
      <c r="FP30" t="s">
        <v>110</v>
      </c>
      <c r="FS30">
        <v>10</v>
      </c>
      <c r="FT30" t="s">
        <v>136</v>
      </c>
      <c r="FW30">
        <v>63</v>
      </c>
      <c r="FX30" t="s">
        <v>110</v>
      </c>
      <c r="GB30" t="s">
        <v>139</v>
      </c>
      <c r="GF30" t="s">
        <v>139</v>
      </c>
      <c r="GJ30" t="s">
        <v>139</v>
      </c>
      <c r="GN30" t="s">
        <v>139</v>
      </c>
      <c r="GR30" t="s">
        <v>139</v>
      </c>
      <c r="KI30">
        <v>90</v>
      </c>
      <c r="KJ30" t="s">
        <v>110</v>
      </c>
      <c r="LC30">
        <v>90</v>
      </c>
      <c r="LD30" t="s">
        <v>110</v>
      </c>
      <c r="PS30" s="3">
        <f t="shared" ref="PS30" si="99">COUNTIF(AI30:PR30,"HG")</f>
        <v>7</v>
      </c>
      <c r="PT30" s="3">
        <f t="shared" ref="PT30" si="100">COUNTIF(CY30:GX30,"HG")</f>
        <v>7</v>
      </c>
      <c r="PU30" s="3">
        <f t="shared" ref="PU30" si="101">COUNTIF(GY30:IT30,"HG")</f>
        <v>0</v>
      </c>
      <c r="PV30">
        <f t="shared" ref="PV30" si="102">COUNTIF(IU:PR,"HG")</f>
        <v>0</v>
      </c>
      <c r="PW30">
        <f t="shared" ref="PW30" si="103">G30-(K30+O30+S30)</f>
        <v>1</v>
      </c>
    </row>
    <row r="31" spans="1:439" x14ac:dyDescent="0.2">
      <c r="A31" s="2" t="s">
        <v>151</v>
      </c>
      <c r="B31">
        <f t="shared" ref="B31" si="104">SUM(AI31,AM31,AQ31,AU31,AY31,BC31,BG31,BK31,BO31,BS31,BW31,CA31,CE31,CI31,CM31,CQ31,CU31,CY31,DC31,DG31,DK31,DO31,DS31,DW31,EA31,EE31,EI31,EM31,EQ31,EU31,EY31,FC31,FG31,FK31,FO31,FS31,FW31,GA31,GE31,GI31,GM31,GQ31,GU31,GY31,HC31,HG31,HK31,HO31,HS31,HW31,IA31,IE31,II31,IM31,IQ31,IU31,IY31,JC31,JG31,JK31,JO31,JS31,JW31,KA31,KE31,KI31,KM31,KQ31,KU31,KY31,LC31,LG31,LK31,LO31,LS31,LW31,MA31,ME31,MI31,MM31,MQ31,MU31,MY31,NC31,NG31,NK31,NO31,NS31,NW31,OA31,OE31,OI31,OM31,OQ31,OU31,OY31,PC31,PG31,PK31,PO31)</f>
        <v>860</v>
      </c>
      <c r="C31">
        <f t="shared" ref="C31" si="105">SUM(CY31,DC31,DG31,DK31,DO31,DS31,DW31,EA31,EE31,EI31,EM31,EQ31,EU31,EY31,FC31,FG31,FK31,FO31,FS31,FW31,GA31,GE31,GI31,GM31,GQ31,GU31)</f>
        <v>860</v>
      </c>
      <c r="D31">
        <f t="shared" ref="D31" si="106">SUM(GY31,HC31,HG31,HK31,HO31,HS31,HW31,IA31,IE31,II31,IM31,IQ31)</f>
        <v>0</v>
      </c>
      <c r="E31">
        <f t="shared" ref="E31" si="107">SUM(IU31,IY31,JC31,JG31,JK31,JO31,JS31,JW31,KA31,KE31,KI31,KM31,KQ31,KU31,KY31,LC31,LG31,LK31,LO31,LS31,LW31,MA31,ME31,MI31,MM31,MQ31,MU31,MY31,NC31,NG31,NK31,NO31,NS31,NW31,OA31,OE31,OI31,OM31,OQ31,OU31,OY31,PC31,PG31,PK31,PO31)</f>
        <v>0</v>
      </c>
      <c r="F31">
        <f t="shared" ref="F31" si="108">SUM(AI31,AM31,AQ31,AU31,AY31,BC31,BG31,BK31,BO31,BS31,BW31,CA31,CE31,CI31,CM31,CQ31,CU31)</f>
        <v>0</v>
      </c>
      <c r="G31">
        <f t="shared" ref="G31" si="109">SUM(H31:I31)</f>
        <v>10</v>
      </c>
      <c r="H31" s="3">
        <f t="shared" ref="H31" si="110">COUNTIF(AI31:PR31,"T")</f>
        <v>10</v>
      </c>
      <c r="I31" s="3">
        <f t="shared" ref="I31" si="111">COUNTIF(AI31:PR31,"R")</f>
        <v>0</v>
      </c>
      <c r="J31" s="3">
        <f t="shared" ref="J31" si="112">COUNTIF(AI31:PR31,"NR")</f>
        <v>0</v>
      </c>
      <c r="K31">
        <f t="shared" ref="K31" si="113">SUM(L31:M31)</f>
        <v>10</v>
      </c>
      <c r="L31" s="3">
        <f t="shared" ref="L31" si="114">COUNTIF(CY31:GX31,"T")</f>
        <v>10</v>
      </c>
      <c r="M31" s="3">
        <f t="shared" ref="M31" si="115">COUNTIF(CY31:GX31,"R")</f>
        <v>0</v>
      </c>
      <c r="N31" s="3">
        <f t="shared" ref="N31" si="116">COUNTIF(CY31:GX31,"NR")</f>
        <v>0</v>
      </c>
      <c r="O31">
        <f t="shared" ref="O31" si="117">SUM(P31:Q31)</f>
        <v>0</v>
      </c>
      <c r="P31" s="3">
        <f t="shared" ref="P31" si="118">COUNTIF(GY31:IT31,"T")</f>
        <v>0</v>
      </c>
      <c r="Q31" s="3">
        <f t="shared" ref="Q31" si="119">COUNTIF(GY31:IT31,"R")</f>
        <v>0</v>
      </c>
      <c r="R31" s="3">
        <f t="shared" ref="R31" si="120">COUNTIF(GY31:IT31,"NR")</f>
        <v>0</v>
      </c>
      <c r="S31">
        <f t="shared" ref="S31" si="121">SUM(T31:U31)</f>
        <v>0</v>
      </c>
      <c r="T31" s="3">
        <f t="shared" ref="T31" si="122">COUNTIF(IU31:PR31,"T")</f>
        <v>0</v>
      </c>
      <c r="U31" s="3">
        <f t="shared" ref="U31" si="123">COUNTIF(IU31:PR31,"R")</f>
        <v>0</v>
      </c>
      <c r="V31" s="3">
        <f t="shared" ref="V31" si="124">COUNTIF(IU:PR,"NR")</f>
        <v>0</v>
      </c>
      <c r="W31" s="3">
        <f t="shared" ref="W31" si="125">SUM(AK31,AO31,AS31,AW31,BA31,BE31,BI31,BM31,BQ31,BU31,BY31,CC31,CG31,CK31,CO31,CS31,CW31,DA31,DE31,DI31,DM31,DQ31,DU31,DY31,EC31,EG31,EK31,EO31,ES31,EW31,FA31,FE31,FI31,FM31,FQ31,FU31,FY31,GC31,GG31,GK31,GO31,GS31,GW31,HA31,HE31,HI31,HM31,HQ31,HU31,HY31,IC31,IG31,IK31,IO31,IS31,IW31,JA31,JE31,JI31,JM31,JQ31,JU31,JY31,KC31,KG31,KK31,KO31,KS31,KW31,LA31,LE31,LI31,LM31,LQ31,LU31,LY31,MC31,MG31,MK31,MO31,MS31,MW31,NA31,NE31,NI31,NM31,NQ31,NU31,NY31,OC31,OG31,OK31,OO31,OS31,OW31,PA31,PE31,PI31,PM31,PQ31)</f>
        <v>11</v>
      </c>
      <c r="X31" s="4">
        <f t="shared" ref="X31" si="126">SUM(DA31,DE31,DI31,DM31,DQ31,DU31,DY31,EC31,EG31,EK31,EO31,ES31,EW31,FA31,FE31,FI31,FM31,FQ31,FU31,FY31,GC31,GG31,GK31,GO31,GS31,GW31,HA31,HE31,HI31,HM31,HQ31,HU31,HY31,IC31,IG31,IK31,IO31,IS31,IW31,JA31,JE31,JI31,JM31,JQ31,JU31,JY31,KC31,KG31,KK31,KO31,KS31,KW31,LA31,LE31,LI31,LM31,LQ31,LU31,LY31,MC31,MG31,MK31,MO31,MS31,MW31,NA31,NE31,NI31,NM31,NQ31,NU31,NY31,OC31,OG31,OK31,OO31,OS31,OW31,PA31,PE31,PI31,PM31,PQ31)</f>
        <v>11</v>
      </c>
      <c r="Y31" s="4">
        <f t="shared" ref="Y31" si="127">SUM(AL31,AP31,AT31,AX31,BB31,BF31,BJ31,BN31,BR31,BV31,BZ31,CD31,CH31,CL31,CP31,CT31,CX31,DB31,DF31,DJ31,DN31,DR31,DV31,DZ31,ED31,EH31,EL31,EP31,ET31,EX31,FB31,FF31,FJ31,FN31,FR31,FV31,FZ31,GD31,GH31,GL31,GP31,GT31,GX31,HB31,HF31,HJ31,HN31,HR31,HV31,HZ31,ID31,IH31,IL31,IP31,IT31,IX31,JB31,JF31,JJ31,JN31,JR31,JV31,JZ31,KD31,KH31,KL31,KP31,KT31,KX31,LB31,LF31,LJ31,LN31,LR31,LV31,LZ31,MD31,MH31,ML31,MP31,MT31,MX31,NB31,NF31,NJ31,NN31,NR31,NV31,NZ31,OD31,OH31,OL31,OP31,OT31,OX31,PB31,PF31,PJ31,PN31,PR31)</f>
        <v>4</v>
      </c>
      <c r="Z31" s="4">
        <f t="shared" ref="Z31" si="128">SUM(DB31,DF31,DJ31,DN31,DR31,DV31,DZ31,ED31,EH31,EL31,EP31,ET31,EX31,FB31,FF31,FJ31,FN31,FR31,FV31,FZ31,GD31,GH31,GL31,GP31,GT31,GX31,HB31,HF31,HJ31,HN31,HR31,HV31,HZ31,ID31,IH31,IL31,IP31,IT31,IX31,JB31,JF31,JJ31,JN31,JR31,JV31,JZ31,KD31,KH31,KL31,KP31,KT31,KX31,LB31,LF31,LJ31,LN31,LR31,LV31,LZ31,MD31,MH31,ML31,MP31,MT31,MX31,NB31,NF31,NJ31,NN31,NR31,NV31,NZ31,OD31,OH31,OL31,OP31,OT31,OX31,PB31,PF31,PJ31,PN31,PR31)</f>
        <v>4</v>
      </c>
      <c r="AA31">
        <f t="shared" ref="AA31" si="129">SUM(DA31,DE31,DI31,DM31,DQ31,DU31,DY31,EC31,EG31,EK31,EO31,ES31,EW31,FA31,FE31,FI31,FM31,FQ31,FU31,FY31,GC31,GG31,GK31,GO31,GS31,GW31)</f>
        <v>11</v>
      </c>
      <c r="AB31">
        <f t="shared" ref="AB31" si="130">SUM(DB31,DF31,DJ31,DN31,DR31,DV31,DZ31,ED31,EH31,EL31,EP31,ET31,EX31,FB31,FF31,FJ31,FN31,FR31,FV31,FZ31,GD31,GH31,GL31,GP31,GT31,GX31)</f>
        <v>4</v>
      </c>
      <c r="AC31">
        <f t="shared" ref="AC31" si="131">SUM(HA31,HE31,HI31,HM31,HQ31,HU31,HY31,IC31,IG31,IK31,IO31,IS31)</f>
        <v>0</v>
      </c>
      <c r="AD31">
        <f t="shared" ref="AD31" si="132">SUM(HB31,HF31,HJ31,HN31,HR31,HV31,HZ31,ID31,IH31,IL31,IP31,IT31)</f>
        <v>0</v>
      </c>
      <c r="AE31">
        <f t="shared" ref="AE31" si="133">SUM(AK31,AO31,AS31,AW31,BA31,BE31,BI31,BM31,BQ31,BU31,BY31,CC31,CG31,CK31,CO31,CS31,CW31)</f>
        <v>0</v>
      </c>
      <c r="AF31">
        <f t="shared" ref="AF31" si="134">SUM(AL31,AP31,AT31,AX31,BB31,BF31,BJ31,BN31,BR31,BV31,BZ31,CD31,CH31,CL31,CP31,CT31,CX31)</f>
        <v>0</v>
      </c>
      <c r="AG31">
        <f t="shared" ref="AG31" si="135">SUM(IW31,JA31,JE31,JI31,JM31,JQ31,JU31,JY31,KC31,KG31,KK31,KO31,KS31,KW31,LA31,LE31,LI31,LM31,LQ31,LU31,LY31,MC31,MG31,MK31,MO31,MS31,MW31,NA31,NE31,NI31,NM31,NQ31,NU31,NY31,OC31,OG31,OK31,OO31,OS31,OW31,PA31,PE31,PI31,PM31,PQ31)</f>
        <v>0</v>
      </c>
      <c r="AH31">
        <f t="shared" ref="AH31" si="136">SUM(IX31,JB31,JF31,JJ31,JN31,JR31,JV31,JZ31,KD31,KH31,KL31,KP31,KT31,KX31,LB31,LF31,LJ31,LN31,LR31,LV31,LZ31,MD31,MH31,ML31,MP31,MT31,MX31,NB31,NF31,NJ31,NN31,NR31,NV31,NZ31,OD31,OH31,OL31,OP31,OT31,OX31,PB31,PF31,PJ31,PN31,PR31)</f>
        <v>0</v>
      </c>
      <c r="EN31" t="s">
        <v>139</v>
      </c>
      <c r="EY31">
        <v>89</v>
      </c>
      <c r="EZ31" t="s">
        <v>110</v>
      </c>
      <c r="FA31">
        <v>2</v>
      </c>
      <c r="FC31">
        <v>69</v>
      </c>
      <c r="FD31" t="s">
        <v>110</v>
      </c>
      <c r="FG31">
        <v>82</v>
      </c>
      <c r="FH31" t="s">
        <v>110</v>
      </c>
      <c r="FI31">
        <v>1</v>
      </c>
      <c r="FK31">
        <v>90</v>
      </c>
      <c r="FL31" t="s">
        <v>110</v>
      </c>
      <c r="FM31">
        <v>1</v>
      </c>
      <c r="FO31">
        <v>90</v>
      </c>
      <c r="FP31" t="s">
        <v>110</v>
      </c>
      <c r="FR31">
        <v>1</v>
      </c>
      <c r="FS31">
        <v>90</v>
      </c>
      <c r="FT31" t="s">
        <v>110</v>
      </c>
      <c r="FX31" t="s">
        <v>139</v>
      </c>
      <c r="GA31">
        <v>90</v>
      </c>
      <c r="GB31" t="s">
        <v>110</v>
      </c>
      <c r="GE31">
        <v>90</v>
      </c>
      <c r="GF31" t="s">
        <v>110</v>
      </c>
      <c r="GG31">
        <v>4</v>
      </c>
      <c r="GH31">
        <v>1</v>
      </c>
      <c r="GI31">
        <v>81</v>
      </c>
      <c r="GJ31" t="s">
        <v>110</v>
      </c>
      <c r="GK31">
        <v>1</v>
      </c>
      <c r="GL31">
        <v>1</v>
      </c>
      <c r="GN31" t="s">
        <v>139</v>
      </c>
      <c r="GQ31">
        <v>89</v>
      </c>
      <c r="GR31" t="s">
        <v>110</v>
      </c>
      <c r="GS31">
        <v>2</v>
      </c>
      <c r="GT31">
        <v>1</v>
      </c>
      <c r="PS31" s="3">
        <f t="shared" ref="PS31" si="137">COUNTIF(AI31:PR31,"HG")</f>
        <v>3</v>
      </c>
      <c r="PT31" s="3">
        <f t="shared" ref="PT31" si="138">COUNTIF(CY31:GX31,"HG")</f>
        <v>3</v>
      </c>
      <c r="PU31" s="3">
        <f t="shared" ref="PU31" si="139">COUNTIF(GY31:IT31,"HG")</f>
        <v>0</v>
      </c>
      <c r="PV31">
        <f t="shared" ref="PV31" si="140">COUNTIF(IU:PR,"HG")</f>
        <v>0</v>
      </c>
      <c r="PW31">
        <f t="shared" ref="PW31" si="141">G31-(K31+O31+S31)</f>
        <v>0</v>
      </c>
    </row>
    <row r="32" spans="1:439" x14ac:dyDescent="0.2">
      <c r="A32" s="2" t="s">
        <v>150</v>
      </c>
      <c r="B32">
        <f t="shared" ref="B32" si="142">SUM(AI32,AM32,AQ32,AU32,AY32,BC32,BG32,BK32,BO32,BS32,BW32,CA32,CE32,CI32,CM32,CQ32,CU32,CY32,DC32,DG32,DK32,DO32,DS32,DW32,EA32,EE32,EI32,EM32,EQ32,EU32,EY32,FC32,FG32,FK32,FO32,FS32,FW32,GA32,GE32,GI32,GM32,GQ32,GU32,GY32,HC32,HG32,HK32,HO32,HS32,HW32,IA32,IE32,II32,IM32,IQ32,IU32,IY32,JC32,JG32,JK32,JO32,JS32,JW32,KA32,KE32,KI32,KM32,KQ32,KU32,KY32,LC32,LG32,LK32,LO32,LS32,LW32,MA32,ME32,MI32,MM32,MQ32,MU32,MY32,NC32,NG32,NK32,NO32,NS32,NW32,OA32,OE32,OI32,OM32,OQ32,OU32,OY32,PC32,PG32,PK32,PO32)</f>
        <v>604</v>
      </c>
      <c r="C32">
        <f t="shared" ref="C32" si="143">SUM(CY32,DC32,DG32,DK32,DO32,DS32,DW32,EA32,EE32,EI32,EM32,EQ32,EU32,EY32,FC32,FG32,FK32,FO32,FS32,FW32,GA32,GE32,GI32,GM32,GQ32,GU32)</f>
        <v>424</v>
      </c>
      <c r="D32">
        <f t="shared" ref="D32" si="144">SUM(GY32,HC32,HG32,HK32,HO32,HS32,HW32,IA32,IE32,II32,IM32,IQ32)</f>
        <v>0</v>
      </c>
      <c r="E32">
        <f t="shared" ref="E32" si="145">SUM(IU32,IY32,JC32,JG32,JK32,JO32,JS32,JW32,KA32,KE32,KI32,KM32,KQ32,KU32,KY32,LC32,LG32,LK32,LO32,LS32,LW32,MA32,ME32,MI32,MM32,MQ32,MU32,MY32,NC32,NG32,NK32,NO32,NS32,NW32,OA32,OE32,OI32,OM32,OQ32,OU32,OY32,PC32,PG32,PK32,PO32)</f>
        <v>180</v>
      </c>
      <c r="F32">
        <f t="shared" ref="F32" si="146">SUM(AI32,AM32,AQ32,AU32,AY32,BC32,BG32,BK32,BO32,BS32,BW32,CA32,CE32,CI32,CM32,CQ32,CU32)</f>
        <v>0</v>
      </c>
      <c r="G32">
        <f t="shared" ref="G32" si="147">SUM(H32:I32)</f>
        <v>13</v>
      </c>
      <c r="H32" s="3">
        <f t="shared" ref="H32" si="148">COUNTIF(AI32:PR32,"T")</f>
        <v>5</v>
      </c>
      <c r="I32" s="3">
        <f t="shared" ref="I32" si="149">COUNTIF(AI32:PR32,"R")</f>
        <v>8</v>
      </c>
      <c r="J32" s="3">
        <f t="shared" ref="J32" si="150">COUNTIF(AI32:PR32,"NR")</f>
        <v>0</v>
      </c>
      <c r="K32">
        <f t="shared" ref="K32" si="151">SUM(L32:M32)</f>
        <v>11</v>
      </c>
      <c r="L32" s="3">
        <f t="shared" ref="L32" si="152">COUNTIF(CY32:GX32,"T")</f>
        <v>3</v>
      </c>
      <c r="M32" s="3">
        <f t="shared" ref="M32" si="153">COUNTIF(CY32:GX32,"R")</f>
        <v>8</v>
      </c>
      <c r="N32" s="3">
        <f t="shared" ref="N32" si="154">COUNTIF(CY32:GX32,"NR")</f>
        <v>0</v>
      </c>
      <c r="O32">
        <f t="shared" ref="O32" si="155">SUM(P32:Q32)</f>
        <v>0</v>
      </c>
      <c r="P32" s="3">
        <f t="shared" ref="P32" si="156">COUNTIF(GY32:IT32,"T")</f>
        <v>0</v>
      </c>
      <c r="Q32" s="3">
        <f t="shared" ref="Q32" si="157">COUNTIF(GY32:IT32,"R")</f>
        <v>0</v>
      </c>
      <c r="R32" s="3">
        <f t="shared" ref="R32" si="158">COUNTIF(GY32:IT32,"NR")</f>
        <v>0</v>
      </c>
      <c r="S32">
        <f t="shared" ref="S32" si="159">SUM(T32:U32)</f>
        <v>2</v>
      </c>
      <c r="T32" s="3">
        <f t="shared" ref="T32" si="160">COUNTIF(IU32:PR32,"T")</f>
        <v>2</v>
      </c>
      <c r="U32" s="3">
        <f t="shared" ref="U32" si="161">COUNTIF(IU32:PR32,"R")</f>
        <v>0</v>
      </c>
      <c r="V32" s="3">
        <f t="shared" ref="V32" si="162">COUNTIF(IU:PR,"NR")</f>
        <v>0</v>
      </c>
      <c r="W32" s="3">
        <f t="shared" ref="W32" si="163">SUM(AK32,AO32,AS32,AW32,BA32,BE32,BI32,BM32,BQ32,BU32,BY32,CC32,CG32,CK32,CO32,CS32,CW32,DA32,DE32,DI32,DM32,DQ32,DU32,DY32,EC32,EG32,EK32,EO32,ES32,EW32,FA32,FE32,FI32,FM32,FQ32,FU32,FY32,GC32,GG32,GK32,GO32,GS32,GW32,HA32,HE32,HI32,HM32,HQ32,HU32,HY32,IC32,IG32,IK32,IO32,IS32,IW32,JA32,JE32,JI32,JM32,JQ32,JU32,JY32,KC32,KG32,KK32,KO32,KS32,KW32,LA32,LE32,LI32,LM32,LQ32,LU32,LY32,MC32,MG32,MK32,MO32,MS32,MW32,NA32,NE32,NI32,NM32,NQ32,NU32,NY32,OC32,OG32,OK32,OO32,OS32,OW32,PA32,PE32,PI32,PM32,PQ32)</f>
        <v>3</v>
      </c>
      <c r="X32" s="4">
        <f t="shared" ref="X32" si="164">SUM(DA32,DE32,DI32,DM32,DQ32,DU32,DY32,EC32,EG32,EK32,EO32,ES32,EW32,FA32,FE32,FI32,FM32,FQ32,FU32,FY32,GC32,GG32,GK32,GO32,GS32,GW32,HA32,HE32,HI32,HM32,HQ32,HU32,HY32,IC32,IG32,IK32,IO32,IS32,IW32,JA32,JE32,JI32,JM32,JQ32,JU32,JY32,KC32,KG32,KK32,KO32,KS32,KW32,LA32,LE32,LI32,LM32,LQ32,LU32,LY32,MC32,MG32,MK32,MO32,MS32,MW32,NA32,NE32,NI32,NM32,NQ32,NU32,NY32,OC32,OG32,OK32,OO32,OS32,OW32,PA32,PE32,PI32,PM32,PQ32)</f>
        <v>3</v>
      </c>
      <c r="Y32" s="4">
        <f t="shared" ref="Y32" si="165">SUM(AL32,AP32,AT32,AX32,BB32,BF32,BJ32,BN32,BR32,BV32,BZ32,CD32,CH32,CL32,CP32,CT32,CX32,DB32,DF32,DJ32,DN32,DR32,DV32,DZ32,ED32,EH32,EL32,EP32,ET32,EX32,FB32,FF32,FJ32,FN32,FR32,FV32,FZ32,GD32,GH32,GL32,GP32,GT32,GX32,HB32,HF32,HJ32,HN32,HR32,HV32,HZ32,ID32,IH32,IL32,IP32,IT32,IX32,JB32,JF32,JJ32,JN32,JR32,JV32,JZ32,KD32,KH32,KL32,KP32,KT32,KX32,LB32,LF32,LJ32,LN32,LR32,LV32,LZ32,MD32,MH32,ML32,MP32,MT32,MX32,NB32,NF32,NJ32,NN32,NR32,NV32,NZ32,OD32,OH32,OL32,OP32,OT32,OX32,PB32,PF32,PJ32,PN32,PR32)</f>
        <v>2</v>
      </c>
      <c r="Z32" s="4">
        <f t="shared" ref="Z32" si="166">SUM(DB32,DF32,DJ32,DN32,DR32,DV32,DZ32,ED32,EH32,EL32,EP32,ET32,EX32,FB32,FF32,FJ32,FN32,FR32,FV32,FZ32,GD32,GH32,GL32,GP32,GT32,GX32,HB32,HF32,HJ32,HN32,HR32,HV32,HZ32,ID32,IH32,IL32,IP32,IT32,IX32,JB32,JF32,JJ32,JN32,JR32,JV32,JZ32,KD32,KH32,KL32,KP32,KT32,KX32,LB32,LF32,LJ32,LN32,LR32,LV32,LZ32,MD32,MH32,ML32,MP32,MT32,MX32,NB32,NF32,NJ32,NN32,NR32,NV32,NZ32,OD32,OH32,OL32,OP32,OT32,OX32,PB32,PF32,PJ32,PN32,PR32)</f>
        <v>2</v>
      </c>
      <c r="AA32">
        <f t="shared" ref="AA32" si="167">SUM(DA32,DE32,DI32,DM32,DQ32,DU32,DY32,EC32,EG32,EK32,EO32,ES32,EW32,FA32,FE32,FI32,FM32,FQ32,FU32,FY32,GC32,GG32,GK32,GO32,GS32,GW32)</f>
        <v>3</v>
      </c>
      <c r="AB32">
        <f t="shared" ref="AB32" si="168">SUM(DB32,DF32,DJ32,DN32,DR32,DV32,DZ32,ED32,EH32,EL32,EP32,ET32,EX32,FB32,FF32,FJ32,FN32,FR32,FV32,FZ32,GD32,GH32,GL32,GP32,GT32,GX32)</f>
        <v>2</v>
      </c>
      <c r="AC32">
        <f t="shared" ref="AC32" si="169">SUM(HA32,HE32,HI32,HM32,HQ32,HU32,HY32,IC32,IG32,IK32,IO32,IS32)</f>
        <v>0</v>
      </c>
      <c r="AD32">
        <f t="shared" ref="AD32" si="170">SUM(HB32,HF32,HJ32,HN32,HR32,HV32,HZ32,ID32,IH32,IL32,IP32,IT32)</f>
        <v>0</v>
      </c>
      <c r="AE32">
        <f t="shared" ref="AE32" si="171">SUM(AK32,AO32,AS32,AW32,BA32,BE32,BI32,BM32,BQ32,BU32,BY32,CC32,CG32,CK32,CO32,CS32,CW32)</f>
        <v>0</v>
      </c>
      <c r="AF32">
        <f t="shared" ref="AF32" si="172">SUM(AL32,AP32,AT32,AX32,BB32,BF32,BJ32,BN32,BR32,BV32,BZ32,CD32,CH32,CL32,CP32,CT32,CX32)</f>
        <v>0</v>
      </c>
      <c r="AG32">
        <f t="shared" ref="AG32" si="173">SUM(IW32,JA32,JE32,JI32,JM32,JQ32,JU32,JY32,KC32,KG32,KK32,KO32,KS32,KW32,LA32,LE32,LI32,LM32,LQ32,LU32,LY32,MC32,MG32,MK32,MO32,MS32,MW32,NA32,NE32,NI32,NM32,NQ32,NU32,NY32,OC32,OG32,OK32,OO32,OS32,OW32,PA32,PE32,PI32,PM32,PQ32)</f>
        <v>0</v>
      </c>
      <c r="AH32">
        <f t="shared" ref="AH32" si="174">SUM(IX32,JB32,JF32,JJ32,JN32,JR32,JV32,JZ32,KD32,KH32,KL32,KP32,KT32,KX32,LB32,LF32,LJ32,LN32,LR32,LV32,LZ32,MD32,MH32,ML32,MP32,MT32,MX32,NB32,NF32,NJ32,NN32,NR32,NV32,NZ32,OD32,OH32,OL32,OP32,OT32,OX32,PB32,PF32,PJ32,PN32,PR32)</f>
        <v>0</v>
      </c>
      <c r="EY32">
        <v>27</v>
      </c>
      <c r="EZ32" t="s">
        <v>136</v>
      </c>
      <c r="FC32">
        <v>21</v>
      </c>
      <c r="FD32" t="s">
        <v>136</v>
      </c>
      <c r="FG32">
        <v>8</v>
      </c>
      <c r="FH32" t="s">
        <v>136</v>
      </c>
      <c r="FK32">
        <v>45</v>
      </c>
      <c r="FL32" t="s">
        <v>110</v>
      </c>
      <c r="FO32">
        <v>22</v>
      </c>
      <c r="FP32" t="s">
        <v>136</v>
      </c>
      <c r="FR32">
        <v>1</v>
      </c>
      <c r="FT32" t="s">
        <v>139</v>
      </c>
      <c r="FW32">
        <v>27</v>
      </c>
      <c r="FX32" t="s">
        <v>136</v>
      </c>
      <c r="FY32">
        <v>1</v>
      </c>
      <c r="FZ32">
        <v>1</v>
      </c>
      <c r="GA32">
        <v>80</v>
      </c>
      <c r="GB32" t="s">
        <v>110</v>
      </c>
      <c r="GE32">
        <v>45</v>
      </c>
      <c r="GF32" t="s">
        <v>136</v>
      </c>
      <c r="GI32">
        <v>22</v>
      </c>
      <c r="GJ32" t="s">
        <v>136</v>
      </c>
      <c r="GK32">
        <v>2</v>
      </c>
      <c r="GM32">
        <v>45</v>
      </c>
      <c r="GN32" t="s">
        <v>136</v>
      </c>
      <c r="GQ32">
        <v>82</v>
      </c>
      <c r="GR32" t="s">
        <v>110</v>
      </c>
      <c r="KQ32">
        <v>90</v>
      </c>
      <c r="KR32" t="s">
        <v>110</v>
      </c>
      <c r="KU32">
        <v>90</v>
      </c>
      <c r="KV32" t="s">
        <v>110</v>
      </c>
      <c r="PS32" s="3">
        <f t="shared" ref="PS32" si="175">COUNTIF(AI32:PR32,"HG")</f>
        <v>1</v>
      </c>
      <c r="PT32" s="3">
        <f t="shared" ref="PT32" si="176">COUNTIF(CY32:GX32,"HG")</f>
        <v>1</v>
      </c>
      <c r="PU32" s="3">
        <f t="shared" ref="PU32" si="177">COUNTIF(GY32:IT32,"HG")</f>
        <v>0</v>
      </c>
      <c r="PV32">
        <f t="shared" ref="PV32" si="178">COUNTIF(IU:PR,"HG")</f>
        <v>0</v>
      </c>
      <c r="PW32">
        <f t="shared" ref="PW32" si="179">G32-(K32+O32+S32)</f>
        <v>0</v>
      </c>
    </row>
  </sheetData>
  <phoneticPr fontId="1" type="noConversion"/>
  <conditionalFormatting sqref="A22:A30 A32">
    <cfRule type="cellIs" dxfId="6" priority="1" operator="equal">
      <formula>"R"</formula>
    </cfRule>
    <cfRule type="cellIs" dxfId="5" priority="2" operator="equal">
      <formula>"B"</formula>
    </cfRule>
    <cfRule type="cellIs" dxfId="4" priority="3" operator="equal">
      <formula>"P"</formula>
    </cfRule>
    <cfRule type="cellIs" dxfId="3" priority="4" operator="equal">
      <formula>"RENFO/TEK"</formula>
    </cfRule>
    <cfRule type="cellIs" dxfId="2" priority="5" operator="equal">
      <formula>"OK"</formula>
    </cfRule>
    <cfRule type="cellIs" dxfId="1" priority="6" operator="equal">
      <formula>"NN"</formula>
    </cfRule>
    <cfRule type="cellIs" dxfId="0" priority="7" operator="equal">
      <formula>"NN"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Gallo</dc:creator>
  <cp:lastModifiedBy>Christopher Gallo</cp:lastModifiedBy>
  <dcterms:created xsi:type="dcterms:W3CDTF">2025-06-24T14:48:54Z</dcterms:created>
  <dcterms:modified xsi:type="dcterms:W3CDTF">2026-05-11T11:32:13Z</dcterms:modified>
</cp:coreProperties>
</file>