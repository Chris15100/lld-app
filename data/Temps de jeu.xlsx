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4B55B9B-0359-9348-A914-15A735524F73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<sst xmlns="http://schemas.openxmlformats.org/spreadsheetml/2006/main" count="1473" uniqueCount="152">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</sst>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L1" activePane="topRight" state="frozen"/>
      <selection pane="topRight" activeCell="GT19" sqref="GT19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2265</v>
      </c>
      <c r="C2">
        <f>SUM(CY2,DC2,DG2,DK2,DO2,DS2,DW2,EA2,EE2,EI2,EM2,EQ2,EU2,EY2,FC2,FG2,FK2,FO2,FS2,FW2,GA2,GE2,GI2,GM2,GQ2,GU2)</f>
        <v>1980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27</v>
      </c>
      <c r="H2" s="3">
        <f>COUNTIF(AI2:PR2,"T")</f>
        <v>27</v>
      </c>
      <c r="I2" s="3">
        <f>COUNTIF(AI2:PR2,"R")</f>
        <v>0</v>
      </c>
      <c r="J2" s="3">
        <f>COUNTIF(AI2:PR2,"NR")</f>
        <v>6</v>
      </c>
      <c r="K2">
        <f>SUM(L2:M2)</f>
        <v>22</v>
      </c>
      <c r="L2" s="3">
        <f>COUNTIF(CY2:GX2,"T")</f>
        <v>22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1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1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K2">
        <v>90</v>
      </c>
      <c r="FL2" t="s">
        <v>110</v>
      </c>
      <c r="FO2">
        <v>90</v>
      </c>
      <c r="FP2" t="s">
        <v>110</v>
      </c>
      <c r="FS2">
        <v>90</v>
      </c>
      <c r="FT2" t="s">
        <v>110</v>
      </c>
      <c r="FW2">
        <v>90</v>
      </c>
      <c r="FX2" t="s">
        <v>110</v>
      </c>
      <c r="GA2">
        <v>90</v>
      </c>
      <c r="GB2" t="s">
        <v>110</v>
      </c>
      <c r="GE2">
        <v>90</v>
      </c>
      <c r="GF2" t="s">
        <v>110</v>
      </c>
      <c r="GI2">
        <v>90</v>
      </c>
      <c r="GJ2" t="s">
        <v>110</v>
      </c>
      <c r="GL2">
        <v>1</v>
      </c>
      <c r="GM2">
        <v>90</v>
      </c>
      <c r="GN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900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810</v>
      </c>
      <c r="F3">
        <f t="shared" ref="F3:F30" si="5">SUM(AI3,AM3,AQ3,AU3,AY3,BC3,BG3,BK3,BO3,BS3,BW3,CA3,CE3,CI3,CM3,CQ3,CU3)</f>
        <v>90</v>
      </c>
      <c r="G3">
        <f t="shared" ref="G3:G29" si="6">SUM(H3:I3)</f>
        <v>11</v>
      </c>
      <c r="H3" s="3">
        <f t="shared" ref="H3:H29" si="7">COUNTIF(AI3:PR3,"T")</f>
        <v>9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9</v>
      </c>
      <c r="T3" s="3">
        <f t="shared" ref="T3:T29" si="19">COUNTIF(IU3:PR3,"T")</f>
        <v>9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L3" t="s">
        <v>139</v>
      </c>
      <c r="FP3" t="s">
        <v>139</v>
      </c>
      <c r="FT3" t="s">
        <v>139</v>
      </c>
      <c r="FX3" t="s">
        <v>139</v>
      </c>
      <c r="GB3" t="s">
        <v>139</v>
      </c>
      <c r="GF3" t="s">
        <v>139</v>
      </c>
      <c r="GJ3" t="s">
        <v>139</v>
      </c>
      <c r="GN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KY3">
        <v>90</v>
      </c>
      <c r="KZ3" t="s">
        <v>110</v>
      </c>
      <c r="LG3">
        <v>90</v>
      </c>
      <c r="LH3" t="s">
        <v>110</v>
      </c>
      <c r="ME3">
        <v>90</v>
      </c>
      <c r="MF3" t="s">
        <v>110</v>
      </c>
      <c r="PS3" s="3">
        <f t="shared" ref="PS3:PS29" si="33">COUNTIF(AI3:PR3,"HG")</f>
        <v>30</v>
      </c>
      <c r="PT3" s="3">
        <f t="shared" ref="PT3:PT29" si="34">COUNTIF(CY3:GX3,"HG")</f>
        <v>24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1515</v>
      </c>
      <c r="C4">
        <f t="shared" si="2"/>
        <v>180</v>
      </c>
      <c r="D4">
        <f t="shared" si="3"/>
        <v>630</v>
      </c>
      <c r="E4">
        <f t="shared" si="4"/>
        <v>450</v>
      </c>
      <c r="F4">
        <f t="shared" si="5"/>
        <v>255</v>
      </c>
      <c r="G4">
        <f t="shared" ref="G4" si="38">SUM(H4:I4)</f>
        <v>19</v>
      </c>
      <c r="H4" s="3">
        <f t="shared" ref="H4" si="39">COUNTIF(AI4:PR4,"T")</f>
        <v>16</v>
      </c>
      <c r="I4" s="3">
        <f t="shared" ref="I4" si="40">COUNTIF(AI4:PR4,"R")</f>
        <v>3</v>
      </c>
      <c r="J4" s="3">
        <f t="shared" ref="J4" si="41">COUNTIF(AI4:PR4,"NR")</f>
        <v>13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13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5</v>
      </c>
      <c r="T4" s="3">
        <f t="shared" si="19"/>
        <v>5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L4" t="s">
        <v>138</v>
      </c>
      <c r="FP4" t="s">
        <v>139</v>
      </c>
      <c r="FT4" t="s">
        <v>138</v>
      </c>
      <c r="FX4" t="s">
        <v>139</v>
      </c>
      <c r="GB4" t="s">
        <v>138</v>
      </c>
      <c r="GF4" t="s">
        <v>139</v>
      </c>
      <c r="GJ4" t="s">
        <v>138</v>
      </c>
      <c r="GN4" t="s">
        <v>138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LC4">
        <v>90</v>
      </c>
      <c r="LD4" t="s">
        <v>110</v>
      </c>
      <c r="PS4" s="3">
        <f t="shared" ref="PS4" si="63">COUNTIF(AI4:PR4,"HG")</f>
        <v>9</v>
      </c>
      <c r="PT4" s="3">
        <f t="shared" ref="PT4" si="64">COUNTIF(CY4:GX4,"HG")</f>
        <v>9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1919</v>
      </c>
      <c r="C5">
        <f t="shared" si="2"/>
        <v>1309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28</v>
      </c>
      <c r="H5" s="3">
        <f t="shared" si="7"/>
        <v>23</v>
      </c>
      <c r="I5" s="3">
        <f t="shared" si="8"/>
        <v>5</v>
      </c>
      <c r="J5" s="3">
        <f t="shared" si="9"/>
        <v>0</v>
      </c>
      <c r="K5">
        <f t="shared" si="10"/>
        <v>18</v>
      </c>
      <c r="L5" s="3">
        <f t="shared" si="11"/>
        <v>15</v>
      </c>
      <c r="M5" s="3">
        <f t="shared" si="12"/>
        <v>3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1</v>
      </c>
      <c r="X5" s="4">
        <f t="shared" si="22"/>
        <v>1</v>
      </c>
      <c r="Y5" s="4">
        <f t="shared" si="23"/>
        <v>1</v>
      </c>
      <c r="Z5" s="4">
        <f t="shared" si="24"/>
        <v>1</v>
      </c>
      <c r="AA5">
        <f t="shared" si="25"/>
        <v>1</v>
      </c>
      <c r="AB5">
        <f t="shared" si="26"/>
        <v>1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K5">
        <v>90</v>
      </c>
      <c r="FL5" t="s">
        <v>110</v>
      </c>
      <c r="FO5">
        <v>90</v>
      </c>
      <c r="FP5" t="s">
        <v>110</v>
      </c>
      <c r="FS5">
        <v>90</v>
      </c>
      <c r="FT5" t="s">
        <v>110</v>
      </c>
      <c r="FW5">
        <v>90</v>
      </c>
      <c r="FX5" t="s">
        <v>110</v>
      </c>
      <c r="FY5">
        <v>1</v>
      </c>
      <c r="GA5">
        <v>8</v>
      </c>
      <c r="GB5" t="s">
        <v>136</v>
      </c>
      <c r="GE5">
        <v>90</v>
      </c>
      <c r="GF5" t="s">
        <v>110</v>
      </c>
      <c r="GI5">
        <v>90</v>
      </c>
      <c r="GJ5" t="s">
        <v>110</v>
      </c>
      <c r="GM5">
        <v>78</v>
      </c>
      <c r="GN5" t="s">
        <v>110</v>
      </c>
      <c r="GP5">
        <v>1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606</v>
      </c>
      <c r="C6">
        <f t="shared" si="2"/>
        <v>0</v>
      </c>
      <c r="D6">
        <f t="shared" si="3"/>
        <v>0</v>
      </c>
      <c r="E6">
        <f t="shared" si="4"/>
        <v>336</v>
      </c>
      <c r="F6">
        <f t="shared" si="5"/>
        <v>270</v>
      </c>
      <c r="G6">
        <f t="shared" si="6"/>
        <v>10</v>
      </c>
      <c r="H6" s="3">
        <f t="shared" si="7"/>
        <v>6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4</v>
      </c>
      <c r="T6" s="3">
        <f t="shared" si="19"/>
        <v>4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L6" t="s">
        <v>139</v>
      </c>
      <c r="FP6" t="s">
        <v>139</v>
      </c>
      <c r="FT6" t="s">
        <v>139</v>
      </c>
      <c r="FX6" t="s">
        <v>139</v>
      </c>
      <c r="GB6" t="s">
        <v>139</v>
      </c>
      <c r="GF6" t="s">
        <v>139</v>
      </c>
      <c r="GJ6" t="s">
        <v>139</v>
      </c>
      <c r="GN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KY6">
        <v>66</v>
      </c>
      <c r="KZ6" t="s">
        <v>110</v>
      </c>
      <c r="LC6">
        <v>90</v>
      </c>
      <c r="LD6" t="s">
        <v>110</v>
      </c>
      <c r="PS6" s="3">
        <f t="shared" si="33"/>
        <v>30</v>
      </c>
      <c r="PT6" s="3">
        <f t="shared" si="34"/>
        <v>23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2478</v>
      </c>
      <c r="C7">
        <f t="shared" si="2"/>
        <v>1633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30</v>
      </c>
      <c r="H7" s="3">
        <f t="shared" si="7"/>
        <v>29</v>
      </c>
      <c r="I7" s="3">
        <f t="shared" si="8"/>
        <v>1</v>
      </c>
      <c r="J7" s="3">
        <f t="shared" si="9"/>
        <v>0</v>
      </c>
      <c r="K7">
        <f t="shared" si="10"/>
        <v>19</v>
      </c>
      <c r="L7" s="3">
        <f t="shared" si="11"/>
        <v>19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1</v>
      </c>
      <c r="Z7" s="4">
        <f t="shared" si="24"/>
        <v>1</v>
      </c>
      <c r="AA7">
        <f t="shared" si="25"/>
        <v>2</v>
      </c>
      <c r="AB7">
        <f t="shared" si="26"/>
        <v>1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K7">
        <v>90</v>
      </c>
      <c r="FL7" t="s">
        <v>110</v>
      </c>
      <c r="FO7">
        <v>90</v>
      </c>
      <c r="FP7" t="s">
        <v>110</v>
      </c>
      <c r="FQ7">
        <v>1</v>
      </c>
      <c r="FT7" t="s">
        <v>139</v>
      </c>
      <c r="FW7">
        <v>90</v>
      </c>
      <c r="FX7" t="s">
        <v>110</v>
      </c>
      <c r="GA7">
        <v>90</v>
      </c>
      <c r="GB7" t="s">
        <v>110</v>
      </c>
      <c r="GE7">
        <v>90</v>
      </c>
      <c r="GF7" t="s">
        <v>110</v>
      </c>
      <c r="GH7">
        <v>1</v>
      </c>
      <c r="GI7">
        <v>90</v>
      </c>
      <c r="GJ7" t="s">
        <v>110</v>
      </c>
      <c r="GM7">
        <v>90</v>
      </c>
      <c r="GN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5</v>
      </c>
      <c r="PT7" s="3">
        <f t="shared" si="34"/>
        <v>5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L8" t="s">
        <v>139</v>
      </c>
      <c r="FP8" t="s">
        <v>139</v>
      </c>
      <c r="FT8" t="s">
        <v>139</v>
      </c>
      <c r="FX8" t="s">
        <v>139</v>
      </c>
      <c r="GB8" t="s">
        <v>139</v>
      </c>
      <c r="GF8" t="s">
        <v>139</v>
      </c>
      <c r="GJ8" t="s">
        <v>139</v>
      </c>
      <c r="GN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26</v>
      </c>
      <c r="PT8" s="3">
        <f t="shared" si="34"/>
        <v>22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2632</v>
      </c>
      <c r="C9">
        <f t="shared" si="2"/>
        <v>1876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35</v>
      </c>
      <c r="H9" s="3">
        <f t="shared" si="7"/>
        <v>29</v>
      </c>
      <c r="I9" s="3">
        <f t="shared" si="8"/>
        <v>6</v>
      </c>
      <c r="J9" s="3">
        <f t="shared" si="9"/>
        <v>0</v>
      </c>
      <c r="K9">
        <f t="shared" si="10"/>
        <v>23</v>
      </c>
      <c r="L9" s="3">
        <f t="shared" si="11"/>
        <v>20</v>
      </c>
      <c r="M9" s="3">
        <f t="shared" si="12"/>
        <v>3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1</v>
      </c>
      <c r="X9" s="4">
        <f t="shared" si="22"/>
        <v>1</v>
      </c>
      <c r="Y9" s="4">
        <f t="shared" si="23"/>
        <v>4</v>
      </c>
      <c r="Z9" s="4">
        <f t="shared" si="24"/>
        <v>3</v>
      </c>
      <c r="AA9">
        <f t="shared" si="25"/>
        <v>1</v>
      </c>
      <c r="AB9">
        <f t="shared" si="26"/>
        <v>1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K9">
        <v>90</v>
      </c>
      <c r="FL9" t="s">
        <v>110</v>
      </c>
      <c r="FO9">
        <v>90</v>
      </c>
      <c r="FP9" t="s">
        <v>110</v>
      </c>
      <c r="FS9">
        <v>90</v>
      </c>
      <c r="FT9" t="s">
        <v>110</v>
      </c>
      <c r="FW9">
        <v>90</v>
      </c>
      <c r="FX9" t="s">
        <v>110</v>
      </c>
      <c r="FZ9">
        <v>1</v>
      </c>
      <c r="GA9">
        <v>90</v>
      </c>
      <c r="GB9" t="s">
        <v>110</v>
      </c>
      <c r="GE9">
        <v>90</v>
      </c>
      <c r="GF9" t="s">
        <v>110</v>
      </c>
      <c r="GI9">
        <v>90</v>
      </c>
      <c r="GJ9" t="s">
        <v>110</v>
      </c>
      <c r="GM9">
        <v>45</v>
      </c>
      <c r="GN9" t="s">
        <v>136</v>
      </c>
      <c r="GO9">
        <v>1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1838</v>
      </c>
      <c r="C10">
        <f t="shared" si="2"/>
        <v>1238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27</v>
      </c>
      <c r="H10" s="3">
        <f t="shared" si="7"/>
        <v>19</v>
      </c>
      <c r="I10" s="3">
        <f t="shared" si="8"/>
        <v>8</v>
      </c>
      <c r="J10" s="3">
        <f t="shared" si="9"/>
        <v>3</v>
      </c>
      <c r="K10">
        <f t="shared" si="10"/>
        <v>16</v>
      </c>
      <c r="L10" s="3">
        <f t="shared" si="11"/>
        <v>14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1</v>
      </c>
      <c r="Z10" s="4">
        <f t="shared" si="24"/>
        <v>1</v>
      </c>
      <c r="AA10">
        <f t="shared" si="25"/>
        <v>0</v>
      </c>
      <c r="AB10">
        <f t="shared" si="26"/>
        <v>1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K10">
        <v>90</v>
      </c>
      <c r="FL10" t="s">
        <v>110</v>
      </c>
      <c r="FN10">
        <v>1</v>
      </c>
      <c r="FO10">
        <v>90</v>
      </c>
      <c r="FP10" t="s">
        <v>110</v>
      </c>
      <c r="FS10">
        <v>90</v>
      </c>
      <c r="FT10" t="s">
        <v>110</v>
      </c>
      <c r="FX10" t="s">
        <v>139</v>
      </c>
      <c r="GA10">
        <v>90</v>
      </c>
      <c r="GB10" t="s">
        <v>110</v>
      </c>
      <c r="GE10">
        <v>73</v>
      </c>
      <c r="GF10" t="s">
        <v>110</v>
      </c>
      <c r="GI10">
        <v>90</v>
      </c>
      <c r="GJ10" t="s">
        <v>110</v>
      </c>
      <c r="GM10">
        <v>74</v>
      </c>
      <c r="GN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9</v>
      </c>
      <c r="PT10" s="3">
        <f t="shared" si="34"/>
        <v>6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1263</v>
      </c>
      <c r="C11">
        <f t="shared" si="2"/>
        <v>345</v>
      </c>
      <c r="D11">
        <f t="shared" si="3"/>
        <v>209</v>
      </c>
      <c r="E11">
        <f t="shared" si="4"/>
        <v>464</v>
      </c>
      <c r="F11">
        <f t="shared" si="5"/>
        <v>245</v>
      </c>
      <c r="G11">
        <f t="shared" si="6"/>
        <v>26</v>
      </c>
      <c r="H11" s="3">
        <f t="shared" si="7"/>
        <v>18</v>
      </c>
      <c r="I11" s="3">
        <f t="shared" si="8"/>
        <v>8</v>
      </c>
      <c r="J11" s="3">
        <f t="shared" si="9"/>
        <v>3</v>
      </c>
      <c r="K11">
        <f t="shared" si="10"/>
        <v>11</v>
      </c>
      <c r="L11" s="3">
        <f t="shared" si="11"/>
        <v>4</v>
      </c>
      <c r="M11" s="3">
        <f t="shared" si="12"/>
        <v>7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6</v>
      </c>
      <c r="T11" s="3">
        <f t="shared" si="19"/>
        <v>6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L11" t="s">
        <v>139</v>
      </c>
      <c r="FP11" t="s">
        <v>139</v>
      </c>
      <c r="FT11" t="s">
        <v>139</v>
      </c>
      <c r="FW11">
        <v>1</v>
      </c>
      <c r="FX11" t="s">
        <v>136</v>
      </c>
      <c r="GB11" t="s">
        <v>139</v>
      </c>
      <c r="GE11">
        <v>17</v>
      </c>
      <c r="GF11" t="s">
        <v>136</v>
      </c>
      <c r="GI11">
        <v>1</v>
      </c>
      <c r="GJ11" t="s">
        <v>136</v>
      </c>
      <c r="GM11">
        <v>16</v>
      </c>
      <c r="GN11" t="s">
        <v>136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LC11">
        <v>14</v>
      </c>
      <c r="LD11" t="s">
        <v>110</v>
      </c>
      <c r="PS11" s="3">
        <f t="shared" si="33"/>
        <v>14</v>
      </c>
      <c r="PT11" s="3">
        <f t="shared" si="34"/>
        <v>12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L13" t="s">
        <v>139</v>
      </c>
      <c r="FP13" t="s">
        <v>139</v>
      </c>
      <c r="FT13" t="s">
        <v>139</v>
      </c>
      <c r="FX13" t="s">
        <v>139</v>
      </c>
      <c r="GB13" t="s">
        <v>139</v>
      </c>
      <c r="GF13" t="s">
        <v>139</v>
      </c>
      <c r="GJ13" t="s">
        <v>139</v>
      </c>
      <c r="GN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29</v>
      </c>
      <c r="PT13" s="3">
        <f t="shared" si="34"/>
        <v>22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2300</v>
      </c>
      <c r="C14">
        <f t="shared" si="2"/>
        <v>1202</v>
      </c>
      <c r="D14">
        <f t="shared" si="3"/>
        <v>483</v>
      </c>
      <c r="E14">
        <f t="shared" si="4"/>
        <v>270</v>
      </c>
      <c r="F14">
        <f t="shared" si="5"/>
        <v>345</v>
      </c>
      <c r="G14">
        <f t="shared" si="6"/>
        <v>38</v>
      </c>
      <c r="H14" s="3">
        <f t="shared" si="7"/>
        <v>24</v>
      </c>
      <c r="I14" s="3">
        <f t="shared" si="8"/>
        <v>14</v>
      </c>
      <c r="J14" s="3">
        <f t="shared" si="9"/>
        <v>2</v>
      </c>
      <c r="K14">
        <f t="shared" si="10"/>
        <v>21</v>
      </c>
      <c r="L14" s="3">
        <f t="shared" si="11"/>
        <v>13</v>
      </c>
      <c r="M14" s="3">
        <f t="shared" si="12"/>
        <v>8</v>
      </c>
      <c r="N14" s="3">
        <f t="shared" si="13"/>
        <v>2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3</v>
      </c>
      <c r="T14" s="3">
        <f t="shared" si="19"/>
        <v>3</v>
      </c>
      <c r="U14" s="3">
        <f t="shared" si="20"/>
        <v>0</v>
      </c>
      <c r="V14" s="3">
        <f t="shared" si="0"/>
        <v>0</v>
      </c>
      <c r="W14" s="3">
        <f t="shared" si="21"/>
        <v>5</v>
      </c>
      <c r="X14" s="4">
        <f t="shared" si="22"/>
        <v>5</v>
      </c>
      <c r="Y14" s="4">
        <f t="shared" si="23"/>
        <v>5</v>
      </c>
      <c r="Z14" s="4">
        <f t="shared" si="24"/>
        <v>5</v>
      </c>
      <c r="AA14">
        <f t="shared" si="25"/>
        <v>4</v>
      </c>
      <c r="AB14">
        <f t="shared" si="26"/>
        <v>4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K14">
        <v>38</v>
      </c>
      <c r="FL14" t="s">
        <v>136</v>
      </c>
      <c r="FO14">
        <v>22</v>
      </c>
      <c r="FP14" t="s">
        <v>136</v>
      </c>
      <c r="FT14" t="s">
        <v>138</v>
      </c>
      <c r="FX14" t="s">
        <v>138</v>
      </c>
      <c r="GA14">
        <v>8</v>
      </c>
      <c r="GB14" t="s">
        <v>136</v>
      </c>
      <c r="GE14">
        <v>90</v>
      </c>
      <c r="GF14" t="s">
        <v>110</v>
      </c>
      <c r="GG14">
        <v>1</v>
      </c>
      <c r="GI14">
        <v>89</v>
      </c>
      <c r="GJ14" t="s">
        <v>110</v>
      </c>
      <c r="GK14">
        <v>1</v>
      </c>
      <c r="GL14">
        <v>1</v>
      </c>
      <c r="GM14">
        <v>90</v>
      </c>
      <c r="GN14" t="s">
        <v>110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KY14">
        <v>90</v>
      </c>
      <c r="KZ14" t="s">
        <v>110</v>
      </c>
      <c r="LC14">
        <v>90</v>
      </c>
      <c r="LD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1663</v>
      </c>
      <c r="C15">
        <f t="shared" si="2"/>
        <v>926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36</v>
      </c>
      <c r="H15" s="3">
        <f t="shared" si="7"/>
        <v>20</v>
      </c>
      <c r="I15" s="3">
        <f t="shared" si="8"/>
        <v>16</v>
      </c>
      <c r="J15" s="3">
        <f t="shared" si="9"/>
        <v>0</v>
      </c>
      <c r="K15">
        <f t="shared" si="10"/>
        <v>22</v>
      </c>
      <c r="L15" s="3">
        <f t="shared" si="11"/>
        <v>10</v>
      </c>
      <c r="M15" s="3">
        <f t="shared" si="12"/>
        <v>12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6</v>
      </c>
      <c r="X15" s="4">
        <f t="shared" si="22"/>
        <v>4</v>
      </c>
      <c r="Y15" s="4">
        <f t="shared" si="23"/>
        <v>4</v>
      </c>
      <c r="Z15" s="4">
        <f t="shared" si="24"/>
        <v>4</v>
      </c>
      <c r="AA15">
        <f t="shared" si="25"/>
        <v>4</v>
      </c>
      <c r="AB15">
        <f t="shared" si="26"/>
        <v>3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K15">
        <v>45</v>
      </c>
      <c r="FL15" t="s">
        <v>110</v>
      </c>
      <c r="FP15" t="s">
        <v>139</v>
      </c>
      <c r="FS15">
        <v>19</v>
      </c>
      <c r="FT15" t="s">
        <v>136</v>
      </c>
      <c r="FW15">
        <v>11</v>
      </c>
      <c r="FX15" t="s">
        <v>136</v>
      </c>
      <c r="FZ15">
        <v>1</v>
      </c>
      <c r="GA15">
        <v>16</v>
      </c>
      <c r="GB15" t="s">
        <v>136</v>
      </c>
      <c r="GE15">
        <v>64</v>
      </c>
      <c r="GF15" t="s">
        <v>110</v>
      </c>
      <c r="GI15">
        <v>22</v>
      </c>
      <c r="GJ15" t="s">
        <v>136</v>
      </c>
      <c r="GL15">
        <v>1</v>
      </c>
      <c r="GM15">
        <v>90</v>
      </c>
      <c r="GN15" t="s">
        <v>110</v>
      </c>
      <c r="GO15">
        <v>1</v>
      </c>
      <c r="GP15">
        <v>1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1706</v>
      </c>
      <c r="C18">
        <f t="shared" si="2"/>
        <v>1072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33</v>
      </c>
      <c r="H18" s="3">
        <f t="shared" si="7"/>
        <v>21</v>
      </c>
      <c r="I18" s="3">
        <f t="shared" si="8"/>
        <v>12</v>
      </c>
      <c r="J18" s="3">
        <f t="shared" si="9"/>
        <v>0</v>
      </c>
      <c r="K18">
        <f t="shared" si="10"/>
        <v>19</v>
      </c>
      <c r="L18" s="3">
        <f t="shared" si="11"/>
        <v>13</v>
      </c>
      <c r="M18" s="3">
        <f t="shared" si="12"/>
        <v>6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4</v>
      </c>
      <c r="X18" s="4">
        <f t="shared" si="22"/>
        <v>4</v>
      </c>
      <c r="Y18" s="4">
        <f t="shared" si="23"/>
        <v>5</v>
      </c>
      <c r="Z18" s="4">
        <f t="shared" si="24"/>
        <v>2</v>
      </c>
      <c r="AA18">
        <f t="shared" si="25"/>
        <v>4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K18">
        <v>45</v>
      </c>
      <c r="FL18" t="s">
        <v>136</v>
      </c>
      <c r="FM18">
        <v>1</v>
      </c>
      <c r="FO18">
        <v>45</v>
      </c>
      <c r="FP18" t="s">
        <v>136</v>
      </c>
      <c r="FQ18">
        <v>1</v>
      </c>
      <c r="FS18">
        <v>80</v>
      </c>
      <c r="FT18" t="s">
        <v>110</v>
      </c>
      <c r="FW18">
        <v>79</v>
      </c>
      <c r="FX18" t="s">
        <v>110</v>
      </c>
      <c r="GA18">
        <v>74</v>
      </c>
      <c r="GB18" t="s">
        <v>110</v>
      </c>
      <c r="GE18">
        <v>45</v>
      </c>
      <c r="GF18" t="s">
        <v>110</v>
      </c>
      <c r="GI18">
        <v>68</v>
      </c>
      <c r="GJ18" t="s">
        <v>110</v>
      </c>
      <c r="GM18">
        <v>90</v>
      </c>
      <c r="GN18" t="s">
        <v>110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1322</v>
      </c>
      <c r="C19">
        <f t="shared" si="2"/>
        <v>536</v>
      </c>
      <c r="D19">
        <f t="shared" si="3"/>
        <v>214</v>
      </c>
      <c r="E19">
        <f t="shared" si="4"/>
        <v>332</v>
      </c>
      <c r="F19">
        <f t="shared" si="5"/>
        <v>240</v>
      </c>
      <c r="G19">
        <f t="shared" si="6"/>
        <v>29</v>
      </c>
      <c r="H19" s="3">
        <f t="shared" si="7"/>
        <v>13</v>
      </c>
      <c r="I19" s="3">
        <f t="shared" si="8"/>
        <v>16</v>
      </c>
      <c r="J19" s="3">
        <f t="shared" si="9"/>
        <v>2</v>
      </c>
      <c r="K19">
        <f t="shared" si="10"/>
        <v>14</v>
      </c>
      <c r="L19" s="3">
        <f t="shared" si="11"/>
        <v>5</v>
      </c>
      <c r="M19" s="3">
        <f t="shared" si="12"/>
        <v>9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4</v>
      </c>
      <c r="T19" s="3">
        <f t="shared" si="19"/>
        <v>4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K19">
        <v>45</v>
      </c>
      <c r="FL19" t="s">
        <v>136</v>
      </c>
      <c r="FP19" t="s">
        <v>139</v>
      </c>
      <c r="FT19" t="s">
        <v>139</v>
      </c>
      <c r="FW19">
        <v>11</v>
      </c>
      <c r="FX19" t="s">
        <v>136</v>
      </c>
      <c r="GB19" t="s">
        <v>139</v>
      </c>
      <c r="GE19">
        <v>26</v>
      </c>
      <c r="GF19" t="s">
        <v>136</v>
      </c>
      <c r="GI19">
        <v>68</v>
      </c>
      <c r="GJ19" t="s">
        <v>110</v>
      </c>
      <c r="GM19">
        <v>45</v>
      </c>
      <c r="GN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KY19">
        <v>90</v>
      </c>
      <c r="KZ19" t="s">
        <v>110</v>
      </c>
      <c r="PS19" s="3">
        <f t="shared" si="33"/>
        <v>9</v>
      </c>
      <c r="PT19" s="3">
        <f t="shared" si="34"/>
        <v>8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2197</v>
      </c>
      <c r="C20">
        <f t="shared" si="2"/>
        <v>1534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34</v>
      </c>
      <c r="H20" s="3">
        <f t="shared" si="7"/>
        <v>27</v>
      </c>
      <c r="I20" s="3">
        <f t="shared" si="8"/>
        <v>7</v>
      </c>
      <c r="J20" s="3">
        <f t="shared" si="9"/>
        <v>0</v>
      </c>
      <c r="K20">
        <f t="shared" si="10"/>
        <v>20</v>
      </c>
      <c r="L20" s="3">
        <f t="shared" si="11"/>
        <v>19</v>
      </c>
      <c r="M20" s="3">
        <f t="shared" si="12"/>
        <v>1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L20" t="s">
        <v>139</v>
      </c>
      <c r="FO20">
        <v>68</v>
      </c>
      <c r="FP20" t="s">
        <v>110</v>
      </c>
      <c r="FS20">
        <v>90</v>
      </c>
      <c r="FT20" t="s">
        <v>110</v>
      </c>
      <c r="FW20">
        <v>79</v>
      </c>
      <c r="FX20" t="s">
        <v>110</v>
      </c>
      <c r="GA20">
        <v>10</v>
      </c>
      <c r="GB20" t="s">
        <v>136</v>
      </c>
      <c r="GF20" t="s">
        <v>139</v>
      </c>
      <c r="GJ20" t="s">
        <v>139</v>
      </c>
      <c r="GN20" t="s">
        <v>139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4</v>
      </c>
      <c r="PT20" s="3">
        <f t="shared" si="34"/>
        <v>4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2851</v>
      </c>
      <c r="C22">
        <f t="shared" si="2"/>
        <v>1832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35</v>
      </c>
      <c r="H22" s="3">
        <f t="shared" si="7"/>
        <v>35</v>
      </c>
      <c r="I22" s="3">
        <f t="shared" si="8"/>
        <v>0</v>
      </c>
      <c r="J22" s="3">
        <f t="shared" si="9"/>
        <v>0</v>
      </c>
      <c r="K22">
        <f t="shared" si="10"/>
        <v>21</v>
      </c>
      <c r="L22" s="3">
        <f t="shared" si="11"/>
        <v>21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K22">
        <v>43</v>
      </c>
      <c r="FL22" t="s">
        <v>110</v>
      </c>
      <c r="FO22">
        <v>90</v>
      </c>
      <c r="FP22" t="s">
        <v>110</v>
      </c>
      <c r="FS22">
        <v>90</v>
      </c>
      <c r="FT22" t="s">
        <v>110</v>
      </c>
      <c r="FW22">
        <v>89</v>
      </c>
      <c r="FX22" t="s">
        <v>110</v>
      </c>
      <c r="GA22">
        <v>82</v>
      </c>
      <c r="GB22" t="s">
        <v>110</v>
      </c>
      <c r="GF22" t="s">
        <v>139</v>
      </c>
      <c r="GJ22" t="s">
        <v>139</v>
      </c>
      <c r="GN22" t="s">
        <v>139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3</v>
      </c>
      <c r="PT22" s="3">
        <f t="shared" si="34"/>
        <v>3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2492</v>
      </c>
      <c r="C24">
        <f t="shared" si="2"/>
        <v>1800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32</v>
      </c>
      <c r="H24" s="3">
        <f t="shared" si="7"/>
        <v>29</v>
      </c>
      <c r="I24" s="3">
        <f t="shared" si="8"/>
        <v>3</v>
      </c>
      <c r="J24" s="3">
        <f t="shared" si="9"/>
        <v>1</v>
      </c>
      <c r="K24">
        <f t="shared" si="10"/>
        <v>21</v>
      </c>
      <c r="L24" s="3">
        <f t="shared" si="11"/>
        <v>21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L24" t="s">
        <v>139</v>
      </c>
      <c r="FP24" t="s">
        <v>138</v>
      </c>
      <c r="FS24">
        <v>90</v>
      </c>
      <c r="FT24" t="s">
        <v>110</v>
      </c>
      <c r="FW24">
        <v>90</v>
      </c>
      <c r="FX24" t="s">
        <v>110</v>
      </c>
      <c r="GA24">
        <v>90</v>
      </c>
      <c r="GB24" t="s">
        <v>110</v>
      </c>
      <c r="GE24">
        <v>90</v>
      </c>
      <c r="GF24" t="s">
        <v>110</v>
      </c>
      <c r="GI24">
        <v>90</v>
      </c>
      <c r="GJ24" t="s">
        <v>110</v>
      </c>
      <c r="GM24">
        <v>45</v>
      </c>
      <c r="GN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3</v>
      </c>
      <c r="PT24" s="3">
        <f t="shared" si="34"/>
        <v>2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1147</v>
      </c>
      <c r="C26">
        <f t="shared" si="2"/>
        <v>91</v>
      </c>
      <c r="D26">
        <f t="shared" si="3"/>
        <v>137</v>
      </c>
      <c r="E26">
        <f t="shared" si="4"/>
        <v>649</v>
      </c>
      <c r="F26">
        <f t="shared" si="5"/>
        <v>270</v>
      </c>
      <c r="G26">
        <f t="shared" si="6"/>
        <v>25</v>
      </c>
      <c r="H26" s="3">
        <f t="shared" si="7"/>
        <v>12</v>
      </c>
      <c r="I26" s="3">
        <f t="shared" si="8"/>
        <v>13</v>
      </c>
      <c r="J26" s="3">
        <f t="shared" si="9"/>
        <v>1</v>
      </c>
      <c r="K26">
        <f t="shared" si="10"/>
        <v>7</v>
      </c>
      <c r="L26" s="3">
        <f t="shared" si="11"/>
        <v>1</v>
      </c>
      <c r="M26" s="3">
        <f t="shared" si="12"/>
        <v>6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8</v>
      </c>
      <c r="T26" s="3">
        <f t="shared" si="19"/>
        <v>8</v>
      </c>
      <c r="U26" s="3">
        <f t="shared" si="20"/>
        <v>0</v>
      </c>
      <c r="V26" s="3">
        <f t="shared" si="0"/>
        <v>0</v>
      </c>
      <c r="W26" s="3">
        <f t="shared" si="21"/>
        <v>4</v>
      </c>
      <c r="X26" s="4">
        <f t="shared" si="22"/>
        <v>3</v>
      </c>
      <c r="Y26" s="4">
        <f t="shared" si="23"/>
        <v>0</v>
      </c>
      <c r="Z26" s="4">
        <f t="shared" si="24"/>
        <v>0</v>
      </c>
      <c r="AA26">
        <f t="shared" si="25"/>
        <v>1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L26" t="s">
        <v>139</v>
      </c>
      <c r="FP26" t="s">
        <v>139</v>
      </c>
      <c r="FT26" t="s">
        <v>139</v>
      </c>
      <c r="FX26" t="s">
        <v>139</v>
      </c>
      <c r="GB26" t="s">
        <v>139</v>
      </c>
      <c r="GE26">
        <v>26</v>
      </c>
      <c r="GF26" t="s">
        <v>136</v>
      </c>
      <c r="GG26">
        <v>1</v>
      </c>
      <c r="GI26">
        <v>9</v>
      </c>
      <c r="GJ26" t="s">
        <v>136</v>
      </c>
      <c r="GM26">
        <v>12</v>
      </c>
      <c r="GN26" t="s">
        <v>136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LC26">
        <v>69</v>
      </c>
      <c r="LD26" t="s">
        <v>110</v>
      </c>
      <c r="PS26" s="3">
        <f t="shared" si="33"/>
        <v>20</v>
      </c>
      <c r="PT26" s="3">
        <f t="shared" si="34"/>
        <v>17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2017</v>
      </c>
      <c r="C27">
        <f t="shared" si="2"/>
        <v>1522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23</v>
      </c>
      <c r="H27" s="3">
        <f t="shared" si="7"/>
        <v>23</v>
      </c>
      <c r="I27" s="3">
        <f t="shared" si="8"/>
        <v>0</v>
      </c>
      <c r="J27" s="3">
        <f t="shared" si="9"/>
        <v>1</v>
      </c>
      <c r="K27">
        <f t="shared" si="10"/>
        <v>17</v>
      </c>
      <c r="L27" s="3">
        <f t="shared" si="11"/>
        <v>17</v>
      </c>
      <c r="M27" s="3">
        <f t="shared" si="12"/>
        <v>0</v>
      </c>
      <c r="N27" s="3">
        <f t="shared" si="13"/>
        <v>1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2</v>
      </c>
      <c r="Z27" s="4">
        <f t="shared" si="24"/>
        <v>2</v>
      </c>
      <c r="AA27">
        <f t="shared" si="25"/>
        <v>0</v>
      </c>
      <c r="AB27">
        <f t="shared" si="26"/>
        <v>2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K27">
        <v>90</v>
      </c>
      <c r="FL27" t="s">
        <v>110</v>
      </c>
      <c r="FN27">
        <v>1</v>
      </c>
      <c r="FO27">
        <v>90</v>
      </c>
      <c r="FP27" t="s">
        <v>110</v>
      </c>
      <c r="FS27">
        <v>90</v>
      </c>
      <c r="FT27" t="s">
        <v>110</v>
      </c>
      <c r="FW27">
        <v>90</v>
      </c>
      <c r="FX27" t="s">
        <v>110</v>
      </c>
      <c r="GA27">
        <v>90</v>
      </c>
      <c r="GB27" t="s">
        <v>110</v>
      </c>
      <c r="GF27" t="s">
        <v>138</v>
      </c>
      <c r="GJ27" t="s">
        <v>139</v>
      </c>
      <c r="GM27">
        <v>90</v>
      </c>
      <c r="GN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5</v>
      </c>
      <c r="PT27" s="3">
        <f t="shared" si="34"/>
        <v>4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1550</v>
      </c>
      <c r="C28">
        <f t="shared" si="2"/>
        <v>640</v>
      </c>
      <c r="D28">
        <f t="shared" si="3"/>
        <v>400</v>
      </c>
      <c r="E28">
        <f t="shared" si="4"/>
        <v>420</v>
      </c>
      <c r="F28">
        <f t="shared" si="5"/>
        <v>90</v>
      </c>
      <c r="G28">
        <f t="shared" si="6"/>
        <v>21</v>
      </c>
      <c r="H28" s="3">
        <f t="shared" si="7"/>
        <v>18</v>
      </c>
      <c r="I28" s="3">
        <f t="shared" si="8"/>
        <v>3</v>
      </c>
      <c r="J28" s="3">
        <f t="shared" si="9"/>
        <v>2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2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5</v>
      </c>
      <c r="T28" s="3">
        <f t="shared" si="19"/>
        <v>5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FT28" t="s">
        <v>138</v>
      </c>
      <c r="FX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KY28">
        <v>90</v>
      </c>
      <c r="KZ28" t="s">
        <v>110</v>
      </c>
      <c r="PS28" s="3">
        <f t="shared" si="33"/>
        <v>6</v>
      </c>
      <c r="PT28" s="3">
        <f t="shared" si="34"/>
        <v>4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1276</v>
      </c>
      <c r="C29">
        <f t="shared" si="2"/>
        <v>1036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21</v>
      </c>
      <c r="H29" s="3">
        <f t="shared" si="7"/>
        <v>15</v>
      </c>
      <c r="I29" s="3">
        <f t="shared" si="8"/>
        <v>6</v>
      </c>
      <c r="J29" s="3">
        <f t="shared" si="9"/>
        <v>2</v>
      </c>
      <c r="K29">
        <f t="shared" si="10"/>
        <v>17</v>
      </c>
      <c r="L29" s="3">
        <f t="shared" si="11"/>
        <v>13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1</v>
      </c>
      <c r="X29" s="4">
        <f t="shared" si="22"/>
        <v>1</v>
      </c>
      <c r="Y29" s="4">
        <f t="shared" si="23"/>
        <v>1</v>
      </c>
      <c r="Z29" s="4">
        <f t="shared" si="24"/>
        <v>1</v>
      </c>
      <c r="AA29">
        <f t="shared" si="25"/>
        <v>1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K29">
        <v>52</v>
      </c>
      <c r="FL29" t="s">
        <v>110</v>
      </c>
      <c r="FO29">
        <v>68</v>
      </c>
      <c r="FP29" t="s">
        <v>110</v>
      </c>
      <c r="FS29">
        <v>71</v>
      </c>
      <c r="FT29" t="s">
        <v>110</v>
      </c>
      <c r="FW29">
        <v>90</v>
      </c>
      <c r="FX29" t="s">
        <v>110</v>
      </c>
      <c r="FY29">
        <v>1</v>
      </c>
      <c r="GA29">
        <v>82</v>
      </c>
      <c r="GB29" t="s">
        <v>110</v>
      </c>
      <c r="GE29">
        <v>64</v>
      </c>
      <c r="GF29" t="s">
        <v>110</v>
      </c>
      <c r="GI29">
        <v>90</v>
      </c>
      <c r="GJ29" t="s">
        <v>110</v>
      </c>
      <c r="GM29">
        <v>90</v>
      </c>
      <c r="GN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569</v>
      </c>
      <c r="C30">
        <f t="shared" ref="C30" si="68">SUM(CY30,DC30,DG30,DK30,DO30,DS30,DW30,EA30,EE30,EI30,EM30,EQ30,EU30,EY30,FC30,FG30,FK30,FO30,FS30,FW30,GA30,GE30,GI30,GM30,GQ30,GU30)</f>
        <v>344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180</v>
      </c>
      <c r="F30">
        <f t="shared" si="5"/>
        <v>45</v>
      </c>
      <c r="G30">
        <f t="shared" ref="G30" si="71">SUM(H30:I30)</f>
        <v>11</v>
      </c>
      <c r="H30" s="3">
        <f t="shared" ref="H30" si="72">COUNTIF(AI30:PR30,"T")</f>
        <v>6</v>
      </c>
      <c r="I30" s="3">
        <f t="shared" ref="I30" si="73">COUNTIF(AI30:PR30,"R")</f>
        <v>5</v>
      </c>
      <c r="J30" s="3">
        <f t="shared" ref="J30" si="74">COUNTIF(AI30:PR30,"NR")</f>
        <v>0</v>
      </c>
      <c r="K30">
        <f t="shared" ref="K30" si="75">SUM(L30:M30)</f>
        <v>8</v>
      </c>
      <c r="L30" s="3">
        <f t="shared" ref="L30" si="76">COUNTIF(CY30:GX30,"T")</f>
        <v>4</v>
      </c>
      <c r="M30" s="3">
        <f t="shared" ref="M30" si="77">COUNTIF(CY30:GX30,"R")</f>
        <v>4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2</v>
      </c>
      <c r="T30" s="3">
        <f t="shared" ref="T30" si="84">COUNTIF(IU30:PR30,"T")</f>
        <v>2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L30" t="s">
        <v>139</v>
      </c>
      <c r="FO30">
        <v>45</v>
      </c>
      <c r="FP30" t="s">
        <v>110</v>
      </c>
      <c r="FS30">
        <v>10</v>
      </c>
      <c r="FT30" t="s">
        <v>136</v>
      </c>
      <c r="FW30">
        <v>63</v>
      </c>
      <c r="FX30" t="s">
        <v>110</v>
      </c>
      <c r="GB30" t="s">
        <v>139</v>
      </c>
      <c r="GF30" t="s">
        <v>139</v>
      </c>
      <c r="GJ30" t="s">
        <v>139</v>
      </c>
      <c r="GN30" t="s">
        <v>139</v>
      </c>
      <c r="KI30">
        <v>90</v>
      </c>
      <c r="KJ30" t="s">
        <v>110</v>
      </c>
      <c r="LC30">
        <v>90</v>
      </c>
      <c r="LD30" t="s">
        <v>110</v>
      </c>
      <c r="PS30" s="3">
        <f t="shared" ref="PS30" si="99">COUNTIF(AI30:PR30,"HG")</f>
        <v>6</v>
      </c>
      <c r="PT30" s="3">
        <f t="shared" ref="PT30" si="100">COUNTIF(CY30:GX30,"HG")</f>
        <v>6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771</v>
      </c>
      <c r="C31">
        <f t="shared" ref="C31" si="105">SUM(CY31,DC31,DG31,DK31,DO31,DS31,DW31,EA31,EE31,EI31,EM31,EQ31,EU31,EY31,FC31,FG31,FK31,FO31,FS31,FW31,GA31,GE31,GI31,GM31,GQ31,GU31)</f>
        <v>771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9</v>
      </c>
      <c r="H31" s="3">
        <f t="shared" ref="H31" si="110">COUNTIF(AI31:PR31,"T")</f>
        <v>9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9</v>
      </c>
      <c r="L31" s="3">
        <f t="shared" ref="L31" si="114">COUNTIF(CY31:GX31,"T")</f>
        <v>9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9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3</v>
      </c>
      <c r="AA31">
        <f t="shared" ref="AA31" si="129">SUM(DA31,DE31,DI31,DM31,DQ31,DU31,DY31,EC31,EG31,EK31,EO31,ES31,EW31,FA31,FE31,FI31,FM31,FQ31,FU31,FY31,GC31,GG31,GK31,GO31,GS31,GW31)</f>
        <v>9</v>
      </c>
      <c r="AB31">
        <f t="shared" ref="AB31" si="130">SUM(DB31,DF31,DJ31,DN31,DR31,DV31,DZ31,ED31,EH31,EL31,EP31,ET31,EX31,FB31,FF31,FJ31,FN31,FR31,FV31,FZ31,GD31,GH31,GL31,GP31,GT31,GX31)</f>
        <v>3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K31">
        <v>90</v>
      </c>
      <c r="FL31" t="s">
        <v>110</v>
      </c>
      <c r="FM31">
        <v>1</v>
      </c>
      <c r="FO31">
        <v>90</v>
      </c>
      <c r="FP31" t="s">
        <v>110</v>
      </c>
      <c r="FR31">
        <v>1</v>
      </c>
      <c r="FS31">
        <v>90</v>
      </c>
      <c r="FT31" t="s">
        <v>110</v>
      </c>
      <c r="FX31" t="s">
        <v>139</v>
      </c>
      <c r="GA31">
        <v>90</v>
      </c>
      <c r="GB31" t="s">
        <v>110</v>
      </c>
      <c r="GE31">
        <v>90</v>
      </c>
      <c r="GF31" t="s">
        <v>110</v>
      </c>
      <c r="GG31">
        <v>4</v>
      </c>
      <c r="GH31">
        <v>1</v>
      </c>
      <c r="GI31">
        <v>81</v>
      </c>
      <c r="GJ31" t="s">
        <v>110</v>
      </c>
      <c r="GK31">
        <v>1</v>
      </c>
      <c r="GL31">
        <v>1</v>
      </c>
      <c r="GN31" t="s">
        <v>139</v>
      </c>
      <c r="PS31" s="3">
        <f t="shared" ref="PS31" si="137">COUNTIF(AI31:PR31,"HG")</f>
        <v>3</v>
      </c>
      <c r="PT31" s="3">
        <f t="shared" ref="PT31" si="138">COUNTIF(CY31:GX31,"HG")</f>
        <v>3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522</v>
      </c>
      <c r="C32">
        <f t="shared" ref="C32" si="143">SUM(CY32,DC32,DG32,DK32,DO32,DS32,DW32,EA32,EE32,EI32,EM32,EQ32,EU32,EY32,FC32,FG32,FK32,FO32,FS32,FW32,GA32,GE32,GI32,GM32,GQ32,GU32)</f>
        <v>342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12</v>
      </c>
      <c r="H32" s="3">
        <f t="shared" ref="H32" si="148">COUNTIF(AI32:PR32,"T")</f>
        <v>4</v>
      </c>
      <c r="I32" s="3">
        <f t="shared" ref="I32" si="149">COUNTIF(AI32:PR32,"R")</f>
        <v>8</v>
      </c>
      <c r="J32" s="3">
        <f t="shared" ref="J32" si="150">COUNTIF(AI32:PR32,"NR")</f>
        <v>0</v>
      </c>
      <c r="K32">
        <f t="shared" ref="K32" si="151">SUM(L32:M32)</f>
        <v>10</v>
      </c>
      <c r="L32" s="3">
        <f t="shared" ref="L32" si="152">COUNTIF(CY32:GX32,"T")</f>
        <v>2</v>
      </c>
      <c r="M32" s="3">
        <f t="shared" ref="M32" si="153">COUNTIF(CY32:GX32,"R")</f>
        <v>8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3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2</v>
      </c>
      <c r="AA32">
        <f t="shared" ref="AA32" si="167">SUM(DA32,DE32,DI32,DM32,DQ32,DU32,DY32,EC32,EG32,EK32,EO32,ES32,EW32,FA32,FE32,FI32,FM32,FQ32,FU32,FY32,GC32,GG32,GK32,GO32,GS32,GW32)</f>
        <v>3</v>
      </c>
      <c r="AB32">
        <f t="shared" ref="AB32" si="168">SUM(DB32,DF32,DJ32,DN32,DR32,DV32,DZ32,ED32,EH32,EL32,EP32,ET32,EX32,FB32,FF32,FJ32,FN32,FR32,FV32,FZ32,GD32,GH32,GL32,GP32,GT32,GX32)</f>
        <v>2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K32">
        <v>45</v>
      </c>
      <c r="FL32" t="s">
        <v>110</v>
      </c>
      <c r="FO32">
        <v>22</v>
      </c>
      <c r="FP32" t="s">
        <v>136</v>
      </c>
      <c r="FR32">
        <v>1</v>
      </c>
      <c r="FT32" t="s">
        <v>139</v>
      </c>
      <c r="FW32">
        <v>27</v>
      </c>
      <c r="FX32" t="s">
        <v>136</v>
      </c>
      <c r="FY32">
        <v>1</v>
      </c>
      <c r="FZ32">
        <v>1</v>
      </c>
      <c r="GA32">
        <v>80</v>
      </c>
      <c r="GB32" t="s">
        <v>110</v>
      </c>
      <c r="GE32">
        <v>45</v>
      </c>
      <c r="GF32" t="s">
        <v>136</v>
      </c>
      <c r="GI32">
        <v>22</v>
      </c>
      <c r="GJ32" t="s">
        <v>136</v>
      </c>
      <c r="GK32">
        <v>2</v>
      </c>
      <c r="GM32">
        <v>45</v>
      </c>
      <c r="GN32" t="s">
        <v>136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1</v>
      </c>
      <c r="PT32" s="3">
        <f t="shared" ref="PT32" si="176">COUNTIF(CY32:GX32,"HG")</f>
        <v>1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2026-04-28T06:25:04Z</dcterms:modified>
</cp:coreProperties>
</file>